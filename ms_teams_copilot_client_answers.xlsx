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MohitVerma\Desktop\git\translation\SaS-to-python\"/>
    </mc:Choice>
  </mc:AlternateContent>
  <xr:revisionPtr revIDLastSave="0" documentId="13_ncr:1_{4553A32C-6C30-4071-A597-925901DCB89B}" xr6:coauthVersionLast="47" xr6:coauthVersionMax="47" xr10:uidLastSave="{00000000-0000-0000-0000-000000000000}"/>
  <bookViews>
    <workbookView xWindow="0" yWindow="300" windowWidth="19420" windowHeight="10420" activeTab="3" xr2:uid="{00000000-000D-0000-FFFF-FFFF00000000}"/>
  </bookViews>
  <sheets>
    <sheet name="Quick Summary" sheetId="1" r:id="rId1"/>
    <sheet name="Answers" sheetId="2" r:id="rId2"/>
    <sheet name="Examples" sheetId="3" r:id="rId3"/>
    <sheet name="Scoring Metrics" sheetId="4" r:id="rId4"/>
    <sheet name="Gemini trends" sheetId="5" r:id="rId5"/>
    <sheet name="Sheet2" sheetId="6" r:id="rId6"/>
    <sheet name="Prompts" sheetId="7" r:id="rId7"/>
  </sheets>
  <definedNames>
    <definedName name="_xlnm._FilterDatabase" localSheetId="1" hidden="1">Answers!$A$4:$H$13</definedName>
    <definedName name="_xlnm._FilterDatabase" localSheetId="2" hidden="1">Examples!$A$4:$F$6</definedName>
    <definedName name="_xlnm._FilterDatabase" localSheetId="0" hidden="1">'Quick Summary'!$A$4:$E$13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 i="6" l="1"/>
  <c r="F4" i="6"/>
  <c r="F5" i="6"/>
  <c r="F6" i="6"/>
  <c r="F7" i="6"/>
  <c r="F8" i="6"/>
  <c r="F9" i="6"/>
  <c r="F10" i="6"/>
  <c r="F11" i="6"/>
  <c r="F12" i="6"/>
  <c r="F13" i="6"/>
  <c r="F14" i="6"/>
  <c r="F15" i="6"/>
  <c r="F16" i="6"/>
  <c r="F17" i="6"/>
  <c r="F18" i="6"/>
  <c r="F19" i="6"/>
  <c r="F20" i="6"/>
  <c r="F21" i="6"/>
  <c r="F22" i="6"/>
  <c r="F23" i="6"/>
  <c r="F24" i="6"/>
  <c r="F25" i="6"/>
  <c r="F26" i="6"/>
  <c r="F27" i="6"/>
  <c r="F28" i="6"/>
  <c r="F29" i="6"/>
  <c r="F30" i="6"/>
  <c r="F31" i="6"/>
  <c r="F32" i="6"/>
  <c r="F33" i="6"/>
  <c r="F34" i="6"/>
  <c r="F35" i="6"/>
  <c r="F36" i="6"/>
  <c r="F37" i="6"/>
  <c r="F38" i="6"/>
  <c r="F39" i="6"/>
  <c r="F40" i="6"/>
  <c r="F41" i="6"/>
  <c r="F42" i="6"/>
  <c r="F43" i="6"/>
  <c r="F44" i="6"/>
  <c r="F45" i="6"/>
  <c r="F46" i="6"/>
  <c r="F47" i="6"/>
  <c r="F48" i="6"/>
  <c r="F49" i="6"/>
  <c r="F50" i="6"/>
  <c r="F51" i="6"/>
  <c r="F52" i="6"/>
  <c r="F53" i="6"/>
  <c r="F54" i="6"/>
  <c r="F55" i="6"/>
  <c r="F56" i="6"/>
  <c r="F57" i="6"/>
  <c r="F58" i="6"/>
  <c r="F59" i="6"/>
  <c r="F60" i="6"/>
  <c r="F61" i="6"/>
  <c r="F62" i="6"/>
  <c r="F2" i="6"/>
</calcChain>
</file>

<file path=xl/sharedStrings.xml><?xml version="1.0" encoding="utf-8"?>
<sst xmlns="http://schemas.openxmlformats.org/spreadsheetml/2006/main" count="362" uniqueCount="176">
  <si>
    <t>Quick summary for the client</t>
  </si>
  <si>
    <t>Use this sheet for quick reading. The detailed explanation and source URLs are on the 'Answers' sheet.</t>
  </si>
  <si>
    <t>ID</t>
  </si>
  <si>
    <t>Client question</t>
  </si>
  <si>
    <t>Quick answer</t>
  </si>
  <si>
    <t>Best one-line guidance</t>
  </si>
  <si>
    <t>Confidence</t>
  </si>
  <si>
    <t>Is it true that my Copilot will slow down when a lot of people in my organization use it at the same time?</t>
  </si>
  <si>
    <t>Usually no. Not simply because many coworkers use it. Slowdowns are more often service, network, or large-prompt issues.</t>
  </si>
  <si>
    <t>Check Service health, network, and prompt/file size first.</t>
  </si>
  <si>
    <t>Medium</t>
  </si>
  <si>
    <t>How can I make sure my Copilot has the best performance? For example, should I run it at a certain time or in a certain way?</t>
  </si>
  <si>
    <t>There is no official 'best time of day' rule.</t>
  </si>
  <si>
    <t>Best results come from correct setup, good network health, correct license, and clear prompts.</t>
  </si>
  <si>
    <t>High</t>
  </si>
  <si>
    <t>What simple tips can I use to enhance my Copilot performance?</t>
  </si>
  <si>
    <t>Use goal + context + source + expected output.</t>
  </si>
  <si>
    <t>Point Copilot to the exact file, email, or meeting you want it to use.</t>
  </si>
  <si>
    <t>GPT-5.4: How much slower will it make me on the same task compared with 5.3 or 5.2?</t>
  </si>
  <si>
    <t>No official single % slower/faster number.</t>
  </si>
  <si>
    <t>GPT-5.3 Instant = speed. GPT-5.4 Thinking = deeper work. GPT-5.4 Pro = hardest tasks, slower but stronger.</t>
  </si>
  <si>
    <t>Medium to High</t>
  </si>
  <si>
    <t>Which aspect has the biggest improvement for GPT-5.4? For example: better PowerPoint handling, more accuracy, less hallucination?</t>
  </si>
  <si>
    <t>Biggest visible gains: better spreadsheets, presentations, research, and fewer errors.</t>
  </si>
  <si>
    <t>Use GPT-5.4 when quality matters on Excel/PPT/doc-heavy work.</t>
  </si>
  <si>
    <t>Is the improvement in GPT-5.4 roughly 20%?</t>
  </si>
  <si>
    <t>Not one universal 20%. It depends on the task.</t>
  </si>
  <si>
    <t>Some GPT-5.4 gains are above 20%; some are below.</t>
  </si>
  <si>
    <t>What is 'Research mode' / Researcher, and how is it different from normal Copilot?</t>
  </si>
  <si>
    <t>Researcher = deep, cited research agent.</t>
  </si>
  <si>
    <t>Use it for strategy, competitor review, policy comparison, and complex investigations.</t>
  </si>
  <si>
    <t>What is 'Analyst mode' / Analyst, and how is it different from normal Copilot?</t>
  </si>
  <si>
    <t>Analyst = data analysis agent.</t>
  </si>
  <si>
    <t>Use it when the answer is mainly in Excel/CSV/data files.</t>
  </si>
  <si>
    <t>If I ask the same question, what is the difference in the outputs if I use Researcher or Analyst versus not using them?</t>
  </si>
  <si>
    <t>Regular Copilot is fastest; Researcher is best for investigation; Analyst is best for numbers.</t>
  </si>
  <si>
    <t>Choose the tool based on the question type, not just speed.</t>
  </si>
  <si>
    <t>Simple-language answers for Microsoft 365 Copilot / Teams Copilot questions</t>
  </si>
  <si>
    <t>Research date: 2026-03-24 | Sources: official Microsoft and OpenAI pages only.</t>
  </si>
  <si>
    <t>Important assumption used: the GPT-5.4 questions were answered as OpenAI / ChatGPT questions because GPT-5.4 is an OpenAI model name. Researcher and Analyst were answered as Microsoft 365 Copilot agents.</t>
  </si>
  <si>
    <t>Topic</t>
  </si>
  <si>
    <t>Simple answer</t>
  </si>
  <si>
    <t>Why this answer</t>
  </si>
  <si>
    <t>What the client should do</t>
  </si>
  <si>
    <t>Evidence / note</t>
  </si>
  <si>
    <t>Source URLs</t>
  </si>
  <si>
    <t>Copilot speed during heavy company use</t>
  </si>
  <si>
    <t>Usually, not as a normal rule. Microsoft 365 Copilot is a cloud service built for many users. A slowdown is more often caused by service issues, network latency, WebSocket/connectivity problems, or very large prompts/files.</t>
  </si>
  <si>
    <t>Microsoft's guidance focuses on network setup, required endpoints, WebSockets, and measured latency to the Copilot service. Microsoft also says larger combined input takes longer to process. So 'many coworkers using Copilot' is not the main published reason by itself, although wider service or regional load can still affect speed.</t>
  </si>
  <si>
    <t>Ask IT to check Service health first.
Make sure required Microsoft 365 endpoints and WebSockets are allowed.
Keep prompts and attached files focused and not unnecessarily large.</t>
  </si>
  <si>
    <t>Medium — Microsoft does not publish a simple yes/no that 'same-tenant usage causes slowdown.' This answer is based on network, service health, and prompt-size guidance.</t>
  </si>
  <si>
    <t>https://learn.microsoft.com/en-us/copilot/microsoft-365/microsoft-365-copilot-requirements
https://learn.microsoft.com/en-us/microsoft-365/enterprise/office-365-network-mac-perf-score
https://learn.microsoft.com/en-us/microsoft-365/enterprise/view-service-health?view=o365-worldwide
https://learn.microsoft.com/en-us/microsoft-copilot-studio/prompts-performance-execution</t>
  </si>
  <si>
    <t>How to get the best Copilot performance</t>
  </si>
  <si>
    <t>There is no official Microsoft recommendation to use Copilot only at a certain time of day. The best results usually come from good setup, good network health, the right license, and clear prompts.</t>
  </si>
  <si>
    <t>Microsoft's official guidance focuses on app and network requirements, WebSocket support, service health, and correct Copilot service plans. Microsoft Support also recommends giving Copilot better grounding by pointing it to the exact file, email, meeting, or link you want it to use.</t>
  </si>
  <si>
    <t>Check the user has the right Copilot license and service plans.
Keep Microsoft 365 apps / Teams / browser updated.
If speed suddenly drops, check Service health.
Use the exact file, email, or meeting in the prompt instead of asking a very broad question.
Use the latest version of the file, not an older copy.</t>
  </si>
  <si>
    <t>https://learn.microsoft.com/en-us/copilot/microsoft-365/microsoft-365-copilot-requirements
https://learn.microsoft.com/en-us/copilot/microsoft-365/microsoft-365-copilot-service-plans
https://learn.microsoft.com/en-us/microsoft-365/enterprise/view-service-health?view=o365-worldwide
https://support.microsoft.com/en-us/topic/using-context-iq-to-refer-to-specific-files-people-and-more-in-microsoft-365-copilot-272ac2c1-c5f7-49c9-8a42-2a8a87846fa0
https://support.microsoft.com/en-us/topic/what-information-does-copilot-use-to-answer-my-prompt-934f537d-ff7d-4059-9fec-a751e4651307</t>
  </si>
  <si>
    <t>Easy tips to improve day-to-day Copilot results</t>
  </si>
  <si>
    <t>Think in 4 parts: goal, context, source, and expected output. This usually improves both answer quality and speed.</t>
  </si>
  <si>
    <t>Microsoft's prompt guidance says Copilot works better when you clearly tell it what you need, give context, point to the right source, and say what output you want. Microsoft also explains that Copilot answers are 'grounded' by the data you give it or the work/web sources it can access.</t>
  </si>
  <si>
    <t>Use a prompt like: 'Goal: summarize this. Context: for my manager. Source: use this file only. Output: 5 bullets.'
Attach the exact file or reference it with Context IQ.
Keep one topic per chat; if the task changes, start a fresh chat.
If Copilot misses something, check whether you actually have access to that file or chat.
For deep research, use Researcher. For data questions, use Analyst.</t>
  </si>
  <si>
    <t>https://support.microsoft.com/en-au/topic/cooking-up-a-great-prompt-getting-the-most-from-copilot-7b614306-d5aa-4b62-8509-e46674a29165
https://support.microsoft.com/en-us/topic/using-context-iq-to-refer-to-specific-files-people-and-more-in-microsoft-365-copilot-272ac2c1-c5f7-49c9-8a42-2a8a87846fa0
https://support.microsoft.com/en-us/topic/what-information-does-copilot-use-to-answer-my-prompt-934f537d-ff7d-4059-9fec-a751e4651307
https://support.microsoft.com/en-us/topic/ask-questions-and-get-answers-using-microsoft-365-copilot-chat-fd8d88af-9492-48cd-8385-7e8615b42d80</t>
  </si>
  <si>
    <t>GPT-5.4 speed vs GPT-5.3 / GPT-5.2</t>
  </si>
  <si>
    <t>There is no official single number like 'GPT-5.4 is 20% slower.' GPT-5.3 Instant is the speed-first everyday model, while GPT-5.4 Thinking is the deeper-reasoning model. So one response can feel slower, but the overall job can still finish faster because it needs less rework.</t>
  </si>
  <si>
    <t>OpenAI says GPT-5.3 Instant is for fast everyday work, GPT-5.4 Thinking is for difficult real-world work, and GPT-5.4 Pro is for the hardest long-running workflows. OpenAI also says GPT-5.4 is more efficient, can maintain context better, and can use significantly fewer tokens than GPT-5.2 on some tasks. GPT-5.4 Pro can take several minutes on very hard jobs.</t>
  </si>
  <si>
    <t>Use GPT-5.3 Instant for quick Q&amp;A, drafts, and routine work.
Use GPT-5.4 Thinking for spreadsheets, PowerPoints, research, and harder reasoning.
Use GPT-5.4 Pro only when quality matters more than speed.</t>
  </si>
  <si>
    <t>Medium to High — vendor gives product positioning and some efficiency claims, but not one general '% slower' figure across all tasks.</t>
  </si>
  <si>
    <t>https://help.openai.com/en/articles/11909943-gpt-53-and-54-in-chatgpt/
https://openai.com/index/introducing-gpt-5-4/
https://openai.com/index/gpt-5-3-instant/
https://developers.openai.com/api/docs/models/gpt-5.4
https://developers.openai.com/api/docs/models/gpt-5.4-pro</t>
  </si>
  <si>
    <t>Biggest improvements in GPT-5.4</t>
  </si>
  <si>
    <t>For business users, the biggest visible improvement is work quality on professional tasks: better spreadsheets, better presentations, better long documents, stronger web research, and fewer factual mistakes.</t>
  </si>
  <si>
    <t>OpenAI reports several strong gains vs GPT-5.2. Examples: spreadsheet modeling benchmark 87.3% vs 68.4%; presentations were preferred 68% of the time over GPT-5.2; individual factual claims were 33% less likely to be false; full responses were 18% less likely to contain any errors; BrowseComp research benchmark 82.7 vs 65.8.</t>
  </si>
  <si>
    <t>Choose GPT-5.4 when the task includes Excel-like analysis, PowerPoint creation, document-heavy work, or multi-source web research.</t>
  </si>
  <si>
    <t>https://openai.com/index/introducing-gpt-5-4/
https://help.openai.com/en/articles/6825453-chatgpt-release-notes
https://help.openai.com/en/articles/11909943-gpt-53-and-54-in-chatgpt/</t>
  </si>
  <si>
    <t>Is the GPT-5.4 improvement 'about 20%'?</t>
  </si>
  <si>
    <t>Sometimes yes, sometimes no. There is not one single 20% improvement number for everything.</t>
  </si>
  <si>
    <t>The size of the improvement depends on the task. Some published GPT-5.4 improvements are above 20% for the task measured, while others are below 20%. Example: spreadsheet score improved from 68.4 to 87.3 (a very large jump), false claims were 33% lower, and full-response error rate was 18% lower.</t>
  </si>
  <si>
    <t>If the client mainly cares about spreadsheets, slides, deep research, or fewer errors, the upgrade is meaningful. The exact gain depends on the job, not one universal percentage.</t>
  </si>
  <si>
    <t>https://openai.com/index/introducing-gpt-5-4/
https://help.openai.com/en/articles/6825453-chatgpt-release-notes</t>
  </si>
  <si>
    <t>Researcher agent</t>
  </si>
  <si>
    <t>In Microsoft 365 Copilot, the official name is Researcher. It is a deeper research agent, not just a quick chat setting. It is slower than normal Copilot, but it gives a more complete, source-cited answer.</t>
  </si>
  <si>
    <t>Microsoft says Researcher is designed for deep, multi-step research and can use both your accessible work data and web data. Citations are a core design feature. Normal Copilot chat is better for quick Q&amp;A and everyday drafting.</t>
  </si>
  <si>
    <t>Use Researcher for strategy work, market scans, competitor reviews, policy comparisons, or any question that needs many sources and a structured memo.</t>
  </si>
  <si>
    <t>https://learn.microsoft.com/en-us/copilot/microsoft-365/faq-researcher
https://support.microsoft.com/en-us/topic/get-started-with-researcher-in-microsoft-365-copilot-e63ab760-f3de-4c47-ae87-dad601b0e9c4
https://www.microsoft.com/en-us/microsoft-365/blog/2025/06/02/researcher-and-analyst-are-now-generally-available-in-microsoft-365-copilot/</t>
  </si>
  <si>
    <t>Analyst agent</t>
  </si>
  <si>
    <t>Analyst is a Microsoft 365 Copilot agent for data analysis. You give it data files like Excel or CSV, and it helps find trends, outliers, comparisons, and easy-to-read reports.</t>
  </si>
  <si>
    <t>Microsoft says Analyst is like having a data analyst on hand. It is designed to work with data files, calculate insights, and present findings in tables, charts, and plain language. Normal Copilot can answer quick questions, but Analyst is the better choice when the answer is mainly in the numbers.</t>
  </si>
  <si>
    <t>Use Analyst for sales analysis, trend analysis, regional comparisons, variance checks, customer segmentation, and root-cause questions based on data files.</t>
  </si>
  <si>
    <t>https://support.microsoft.com/en-gb/topic/get-started-with-analyst-in-microsoft-365-copilot-ff505b9c-a06c-4be9-b855-69d89b1d25d2
https://support.microsoft.com/en-us/topic/get-direct-answers-to-your-data-analysis-questions-bb6d0b9c-f42a-46ea-b67d-f7d4ebb2b51b
https://www.microsoft.com/en-us/microsoft-365/blog/2025/06/02/researcher-and-analyst-are-now-generally-available-in-microsoft-365-copilot/</t>
  </si>
  <si>
    <t>Same ask: normal Copilot vs Researcher vs Analyst</t>
  </si>
  <si>
    <t>Regular Copilot is fastest and most general. Researcher gives the best cited investigation. Analyst gives the best number-based answer. So the 'best' output depends on the type of question.</t>
  </si>
  <si>
    <t>This is the simplest rule:
- Regular Copilot = quick answer or first draft.
- Researcher = deeper, wider, cited research across work data and the web.
- Analyst = strongest quantitative answer from attached data files, often with tables/charts.</t>
  </si>
  <si>
    <t>See the 'Examples' sheet in this workbook. It shows the same business ask answered in three different ways, in plain language.</t>
  </si>
  <si>
    <t>High for the product descriptions; the example wording itself is illustrative.</t>
  </si>
  <si>
    <t>https://learn.microsoft.com/en-us/copilot/microsoft-365/faq-researcher
https://support.microsoft.com/en-us/topic/get-started-with-researcher-in-microsoft-365-copilot-e63ab760-f3de-4c47-ae87-dad601b0e9c4
https://support.microsoft.com/en-gb/topic/get-started-with-analyst-in-microsoft-365-copilot-ff505b9c-a06c-4be9-b855-69d89b1d25d2
https://support.microsoft.com/en-us/topic/ask-questions-and-get-answers-using-microsoft-365-copilot-chat-fd8d88af-9492-48cd-8385-7e8615b42d80</t>
  </si>
  <si>
    <t>Examples: same ask, different output types</t>
  </si>
  <si>
    <t>These examples are illustrative. They are based on official Microsoft descriptions of Standard Copilot, Researcher, and Analyst. They show the typical difference in output style.</t>
  </si>
  <si>
    <t>Scenario</t>
  </si>
  <si>
    <t>Same ask</t>
  </si>
  <si>
    <t>Standard Copilot</t>
  </si>
  <si>
    <t>Best when</t>
  </si>
  <si>
    <t>Sales drop investigation</t>
  </si>
  <si>
    <t>Same business ask: 'Why did Germany Q4 sales drop, and what should we do next quarter?'</t>
  </si>
  <si>
    <t>Fast answer.
Likely gives a short summary and general actions.
Good for a quick first draft.
May stay high level if it is not pointed to the exact files, meetings, or emails.</t>
  </si>
  <si>
    <t>Slower, but deeper.
Builds a structured memo using accessible emails, meeting notes, files, and web sources.
Usually gives citations, risks, assumptions, and a stronger executive recommendation.
Best for leadership briefings and complex investigations.</t>
  </si>
  <si>
    <t>Reads the attached sales data.
Shows which products, customers, reps, or months drove the decline.
Can highlight trends, outliers, and likely root causes with tables/charts.
Best when the answer is mainly in the numbers.</t>
  </si>
  <si>
    <t>Use Standard Copilot for a quick draft.
Use Researcher when you need a cited business story.
Use Analyst when you need proof from the data.</t>
  </si>
  <si>
    <t>Board deck request</t>
  </si>
  <si>
    <t>Same business ask: 'Create a board-ready QBR pack on cards and payments performance.'</t>
  </si>
  <si>
    <t>Fast outline or first slide draft.
Useful for getting started quickly.
Can be generic if the prompt is broad.</t>
  </si>
  <si>
    <t>Creates a stronger narrative with internal context plus market and competitor research.
Better for a leadership storyline and cited briefing notes.
Useful when the deck needs external context and internal evidence together.</t>
  </si>
  <si>
    <t>Best for the quantitative part of the deck.
Turns workbook or CSV data into trends, comparisons, and visuals.
Helps answer: what changed, where, by how much, and what was the biggest driver.</t>
  </si>
  <si>
    <t>Use Researcher for the story.
Use Analyst for the numbers.
Use Standard Copilot for a quick starting point.</t>
  </si>
  <si>
    <t>Ally Bank</t>
  </si>
  <si>
    <t>Barclays</t>
  </si>
  <si>
    <t>Marcus</t>
  </si>
  <si>
    <t>SoFi</t>
  </si>
  <si>
    <t>Capital One</t>
  </si>
  <si>
    <t>Discover</t>
  </si>
  <si>
    <t>American Express</t>
  </si>
  <si>
    <t>CIT Bank</t>
  </si>
  <si>
    <t>Synchrony</t>
  </si>
  <si>
    <t>Apple Savings</t>
  </si>
  <si>
    <t>Barclays Online Saving</t>
  </si>
  <si>
    <t>Date</t>
  </si>
  <si>
    <t>Barclays Cards</t>
  </si>
  <si>
    <t>May</t>
  </si>
  <si>
    <t>Synchrony Online Saving</t>
  </si>
  <si>
    <t>Synchrony Cards</t>
  </si>
  <si>
    <t>American Express Online Saving</t>
  </si>
  <si>
    <t>American Express Cards</t>
  </si>
  <si>
    <t>Capital One Online Saving</t>
  </si>
  <si>
    <t>Capital One Cards</t>
  </si>
  <si>
    <t>SoFi Online Saving</t>
  </si>
  <si>
    <t>SoFi Cards</t>
  </si>
  <si>
    <t>Ally Online Saving</t>
  </si>
  <si>
    <t>Ally Cards</t>
  </si>
  <si>
    <t>Year</t>
  </si>
  <si>
    <t>Month</t>
  </si>
  <si>
    <t>Estimated_Search_Volume</t>
  </si>
  <si>
    <t>April</t>
  </si>
  <si>
    <t>June</t>
  </si>
  <si>
    <t>July</t>
  </si>
  <si>
    <t>August</t>
  </si>
  <si>
    <t>September</t>
  </si>
  <si>
    <t>October</t>
  </si>
  <si>
    <t>November</t>
  </si>
  <si>
    <t>December</t>
  </si>
  <si>
    <t>January</t>
  </si>
  <si>
    <t>February</t>
  </si>
  <si>
    <t>March</t>
  </si>
  <si>
    <t xml:space="preserve">Visit the following page 
https://www.nerdwallet.com/m/banking/standout-online-savings-accounts-2
scrap all the content which is available on the page.
extract the data under heading ```Standout Online Savings Accounts``` 
provide the data in a tabular format 
Rank (1, 2, 3, …)
Bank/Institution name (short name)
Product name (full name with bank)
APY (annual percentage yield) (x.xx%)
rating
Bonus: if any (empty if not available)
Notes: (minimum balance, eligibility, account type, restrictions — if not stated, empty)
</t>
  </si>
  <si>
    <t>fetch competitor APY data</t>
  </si>
  <si>
    <t xml:space="preserve">Visit the following page 
https://www.nerdwallet.com/best/banking/high-yield-online-savings-accounts 
scrap all the content which is available on the page.
extract the data under heading ```Best High-Yield Savings Accounts of October 2025: ```
provide the data in a tabular format 
Rank (1, 2, 3, …)
Bank/Institution name (short name)
Product name (full name with bank)
APY (annual percentage yield)
rating
Bonus: if any (empty if not available)
Notes: (minimum balance, eligibility, account type, restrictions — if not stated, empty)
</t>
  </si>
  <si>
    <t>Visit each of the following links and extract the complete, ordered list of banks or financial institutions and their savings-account offers.
Links:
https://www.nerdwallet.com/best/banking/savings-accounts
https://www.bankrate.com/banking/savings/rates/
https://www.bestmoney.com/online-banking/compare-savings-accounts
Special instruction for Bankrate:
Only extract banks listed under the section “Best high-yield savings accounts for {current month + year}.”
For each offer, return one row with the following columns:
Publisher (NerdWallet / Bankrate / BestMoney)
Rank Order (keep the exact order shown on the page)
Bank – the bank or institution name only
Product – the full account name (e.g., Openbank High Yield Savings)
APY (format as x.xx %)
Publisher Rating
Bonus (if available; otherwise null)
Notes (minimum balance, eligibility, account type, restrictions — if not stated, null)
Formatting rules:
Do not include hyperlinks.
Keep the original on-page order exactly.
Record missing fields as null.
Normalize APY strictly to the format x.xx%.
Include both “Bank” and “Product” columns (e.g.,
Bank = Openbank, Product = Openbank High Yield Savings).
Output:
Combine all extracted rows from all three publishers into a single Excel file named
savings_offers_with_bank.xlsx, with columns ordered as:
Publisher | Rank Order | Bank | Product | APY | Publisher Rating | Bonus | Notes.</t>
  </si>
  <si>
    <t>Barclays sentiments</t>
  </si>
  <si>
    <t>Analyze the 2025 Doctor of Credit comments on “Barclays Savings”. Extract the top five positive and top five negative comment themes. Represent each as a hashtag with a short label and an approximate count of occurrences. Present the results in a clean two-section table — one for positives and one for negatives.</t>
  </si>
  <si>
    <t>top 5 saving products in 2025</t>
  </si>
  <si>
    <t xml:space="preserve">I want you to run the comparative analysis
do the following
visit **Doctor of Credit** and **reddit** for 
most discussed savings products** within the **U.S. banking market** for the 2025.
combine the data from both of the sources.
Extract and rank the **top 5 savings or deposit products** (e.g., Barclays Saving, SoFi, Ally, Capital One, Marcus, AmEx, etc.) by **discussion volume**. 
3. Provide the aggregate number of comments/topics/discussions of each product from the combined data.
4. Present results in a **table** with the following columns:
   - Rank  
   - Product / Provider Name  
   - Approx. Discussion Share or Mentions  (number and  percentage)
   - Common Themes (e.g., customer service, APY, account freezes)   
   - Representative Thread or Quote (with link if available)
 Summarize insights in 1–2 paragraphs highlighting what drives discussion volume (e.g., promotions, rate cuts, scandals, or UX).
Return the final output as a **Markdown table**. 
</t>
  </si>
  <si>
    <t>top 5 monthly saving products in 2025</t>
  </si>
  <si>
    <t>I want you to run the comparative analysis_x000D_
_x000D_
do the following_x000D_
visit **Doctor of Credit** and **reddit** for _x000D_
most discussed savings products** within the **U.S. banking market** for the January 2025._x000D_
combine the data from both of the sources._x000D_
Extract and rank the **top 5 savings or deposit products** (e.g., Barclays Saving, SoFi, Ally, Capital One, Marcus, AmEx, etc.) by **discussion volume**. _x000D_
3. Provide the aggregate number of comments/topics/discussions of each product from the combined data._x000D_
4. Present results in a **table** with the following columns:_x000D_
   - Rank  _x000D_
   - Product / Provider Name  _x000D_
   - Approx. Discussion Share or Mentions  (number and  percentage)_x000D_
   - Common Themes (e.g., customer service, APY, account freezes)   _x000D_
   - Representative Thread or Quote (with link if available)_x000D_
_x000D_
 Summarize insights in 1–2 paragraphs highlighting what drives discussion volume (e.g., promotions, rate cuts, scandals, or UX)._x000D_
_x000D_
Return the final output as a **Markdown table**. _x000D_</t>
  </si>
  <si>
    <t>Jp Morgan</t>
  </si>
  <si>
    <t>Amex</t>
  </si>
  <si>
    <t>Citi</t>
  </si>
  <si>
    <t>Bank of America</t>
  </si>
  <si>
    <t>Wells Fargo</t>
  </si>
  <si>
    <t>US Bank</t>
  </si>
  <si>
    <t>Goldman Sachs</t>
  </si>
  <si>
    <t>USAA</t>
  </si>
  <si>
    <t>PNC Bank</t>
  </si>
  <si>
    <t xml:space="preserve">Synchrony </t>
  </si>
  <si>
    <t>Gemini</t>
  </si>
  <si>
    <t>Claude</t>
  </si>
  <si>
    <t>JP Morgan</t>
  </si>
  <si>
    <t xml:space="preserve">PNC Bank </t>
  </si>
  <si>
    <t>GoldmanSachs</t>
  </si>
  <si>
    <t>ChatGPT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</si>
</sst>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4"/>
      <color rgb="FFFFFFFF"/>
      <name val="Calibri"/>
      <family val="2"/>
    </font>
    <font>
      <i/>
      <sz val="10"/>
      <color rgb="FF444444"/>
      <name val="Calibri"/>
      <family val="2"/>
    </font>
    <font>
      <b/>
      <sz val="11"/>
      <color rgb="FF000000"/>
      <name val="Calibri"/>
      <family val="2"/>
    </font>
    <font>
      <sz val="10"/>
      <color rgb="FF000000"/>
      <name val="Calibri"/>
      <family val="2"/>
    </font>
    <font>
      <sz val="9"/>
      <color rgb="FF000000"/>
      <name val="Calibri"/>
      <family val="2"/>
    </font>
    <font>
      <b/>
      <sz val="11"/>
      <color theme="1"/>
      <name val="Calibri"/>
      <family val="2"/>
      <scheme val="minor"/>
    </font>
    <font>
      <sz val="11"/>
      <color rgb="FF1F1F1F"/>
      <name val="Arial"/>
      <family val="2"/>
    </font>
  </fonts>
  <fills count="10">
    <fill>
      <patternFill patternType="none"/>
    </fill>
    <fill>
      <patternFill patternType="gray125"/>
    </fill>
    <fill>
      <patternFill patternType="solid">
        <fgColor rgb="FF1F4E78"/>
      </patternFill>
    </fill>
    <fill>
      <patternFill patternType="solid">
        <fgColor rgb="FFF3F8FC"/>
      </patternFill>
    </fill>
    <fill>
      <patternFill patternType="solid">
        <fgColor rgb="FFF4F6F8"/>
      </patternFill>
    </fill>
    <fill>
      <patternFill patternType="solid">
        <fgColor rgb="FFD9EAF7"/>
      </patternFill>
    </fill>
    <fill>
      <patternFill patternType="solid">
        <fgColor rgb="FFFFF2CC"/>
      </patternFill>
    </fill>
    <fill>
      <patternFill patternType="solid">
        <fgColor rgb="FFFFFFFF"/>
      </patternFill>
    </fill>
    <fill>
      <patternFill patternType="solid">
        <fgColor rgb="FFE2F0D9"/>
      </patternFill>
    </fill>
    <fill>
      <patternFill patternType="solid">
        <fgColor theme="0" tint="-0.14999847407452621"/>
        <bgColor theme="0" tint="-0.14999847407452621"/>
      </patternFill>
    </fill>
  </fills>
  <borders count="3">
    <border>
      <left/>
      <right/>
      <top/>
      <bottom/>
      <diagonal/>
    </border>
    <border>
      <left/>
      <right/>
      <top/>
      <bottom style="thin">
        <color rgb="FFD0D7DE"/>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2">
    <xf numFmtId="0" fontId="0" fillId="0" borderId="0" xfId="0"/>
    <xf numFmtId="0" fontId="3" fillId="5" borderId="1" xfId="0" applyFont="1" applyFill="1" applyBorder="1" applyAlignment="1">
      <alignment horizontal="center" vertical="center" wrapText="1"/>
    </xf>
    <xf numFmtId="0" fontId="4" fillId="3" borderId="1" xfId="0" applyFont="1" applyFill="1" applyBorder="1" applyAlignment="1">
      <alignment horizontal="center" vertical="top" wrapText="1"/>
    </xf>
    <xf numFmtId="0" fontId="4" fillId="3" borderId="1" xfId="0" applyFont="1" applyFill="1" applyBorder="1" applyAlignment="1">
      <alignment horizontal="left" vertical="top" wrapText="1"/>
    </xf>
    <xf numFmtId="0" fontId="4" fillId="6" borderId="1" xfId="0" applyFont="1" applyFill="1" applyBorder="1" applyAlignment="1">
      <alignment horizontal="left" vertical="top" wrapText="1"/>
    </xf>
    <xf numFmtId="0" fontId="5" fillId="3" borderId="1" xfId="0" applyFont="1" applyFill="1" applyBorder="1" applyAlignment="1">
      <alignment horizontal="left" vertical="top" wrapText="1"/>
    </xf>
    <xf numFmtId="0" fontId="4" fillId="7" borderId="1" xfId="0" applyFont="1" applyFill="1" applyBorder="1" applyAlignment="1">
      <alignment horizontal="center" vertical="top" wrapText="1"/>
    </xf>
    <xf numFmtId="0" fontId="4" fillId="7" borderId="1" xfId="0" applyFont="1" applyFill="1" applyBorder="1" applyAlignment="1">
      <alignment horizontal="left" vertical="top" wrapText="1"/>
    </xf>
    <xf numFmtId="0" fontId="4" fillId="8" borderId="1" xfId="0" applyFont="1" applyFill="1" applyBorder="1" applyAlignment="1">
      <alignment horizontal="left" vertical="top" wrapText="1"/>
    </xf>
    <xf numFmtId="0" fontId="5" fillId="7" borderId="1" xfId="0" applyFont="1" applyFill="1" applyBorder="1" applyAlignment="1">
      <alignment horizontal="left" vertical="top" wrapText="1"/>
    </xf>
    <xf numFmtId="0" fontId="0" fillId="0" borderId="2" xfId="0" applyBorder="1"/>
    <xf numFmtId="0" fontId="6" fillId="0" borderId="2" xfId="0" applyFont="1" applyBorder="1"/>
    <xf numFmtId="0" fontId="7" fillId="0" borderId="0" xfId="0" applyFont="1" applyAlignment="1">
      <alignment vertical="center" readingOrder="1"/>
    </xf>
    <xf numFmtId="15" fontId="0" fillId="0" borderId="0" xfId="0" applyNumberFormat="1"/>
    <xf numFmtId="15" fontId="7" fillId="0" borderId="0" xfId="0" applyNumberFormat="1" applyFont="1" applyAlignment="1">
      <alignment vertical="center" readingOrder="1"/>
    </xf>
    <xf numFmtId="0" fontId="0" fillId="9" borderId="2" xfId="0" applyFill="1" applyBorder="1"/>
    <xf numFmtId="0" fontId="7" fillId="0" borderId="2" xfId="0" applyFont="1" applyBorder="1" applyAlignment="1">
      <alignment vertical="center" readingOrder="1"/>
    </xf>
    <xf numFmtId="0" fontId="6" fillId="0" borderId="2" xfId="0" applyFont="1" applyBorder="1" applyAlignment="1">
      <alignment wrapText="1"/>
    </xf>
    <xf numFmtId="0" fontId="2" fillId="4" borderId="0" xfId="0" applyFont="1" applyFill="1" applyAlignment="1">
      <alignment horizontal="left" vertical="center" wrapText="1"/>
    </xf>
    <xf numFmtId="0" fontId="0" fillId="0" borderId="0" xfId="0"/>
    <xf numFmtId="0" fontId="1" fillId="2" borderId="0" xfId="0" applyFont="1" applyFill="1" applyAlignment="1">
      <alignment horizontal="center" vertical="center"/>
    </xf>
    <xf numFmtId="0" fontId="2" fillId="3" borderId="0" xfId="0" applyFont="1" applyFill="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Sheet2!$G$1</c:f>
              <c:strCache>
                <c:ptCount val="1"/>
                <c:pt idx="0">
                  <c:v>Estimated_Search_Volume</c:v>
                </c:pt>
              </c:strCache>
            </c:strRef>
          </c:tx>
          <c:spPr>
            <a:ln w="28575" cap="rnd">
              <a:solidFill>
                <a:schemeClr val="accent1"/>
              </a:solidFill>
              <a:round/>
            </a:ln>
            <a:effectLst/>
          </c:spPr>
          <c:marker>
            <c:symbol val="none"/>
          </c:marker>
          <c:cat>
            <c:strRef>
              <c:f>Sheet2!$F$2:$F$62</c:f>
              <c:strCache>
                <c:ptCount val="61"/>
                <c:pt idx="0">
                  <c:v>2021 April</c:v>
                </c:pt>
                <c:pt idx="1">
                  <c:v>2021 May</c:v>
                </c:pt>
                <c:pt idx="2">
                  <c:v>2021 June</c:v>
                </c:pt>
                <c:pt idx="3">
                  <c:v>2021 July</c:v>
                </c:pt>
                <c:pt idx="4">
                  <c:v>2021 August</c:v>
                </c:pt>
                <c:pt idx="5">
                  <c:v>2021 September</c:v>
                </c:pt>
                <c:pt idx="6">
                  <c:v>2021 October</c:v>
                </c:pt>
                <c:pt idx="7">
                  <c:v>2021 November</c:v>
                </c:pt>
                <c:pt idx="8">
                  <c:v>2021 December</c:v>
                </c:pt>
                <c:pt idx="9">
                  <c:v>2022 January</c:v>
                </c:pt>
                <c:pt idx="10">
                  <c:v>2022 February</c:v>
                </c:pt>
                <c:pt idx="11">
                  <c:v>2022 March</c:v>
                </c:pt>
                <c:pt idx="12">
                  <c:v>2022 April</c:v>
                </c:pt>
                <c:pt idx="13">
                  <c:v>2022 May</c:v>
                </c:pt>
                <c:pt idx="14">
                  <c:v>2022 June</c:v>
                </c:pt>
                <c:pt idx="15">
                  <c:v>2022 July</c:v>
                </c:pt>
                <c:pt idx="16">
                  <c:v>2022 August</c:v>
                </c:pt>
                <c:pt idx="17">
                  <c:v>2022 September</c:v>
                </c:pt>
                <c:pt idx="18">
                  <c:v>2022 October</c:v>
                </c:pt>
                <c:pt idx="19">
                  <c:v>2022 November</c:v>
                </c:pt>
                <c:pt idx="20">
                  <c:v>2022 December</c:v>
                </c:pt>
                <c:pt idx="21">
                  <c:v>2023 January</c:v>
                </c:pt>
                <c:pt idx="22">
                  <c:v>2023 February</c:v>
                </c:pt>
                <c:pt idx="23">
                  <c:v>2023 March</c:v>
                </c:pt>
                <c:pt idx="24">
                  <c:v>2023 April</c:v>
                </c:pt>
                <c:pt idx="25">
                  <c:v>2023 May</c:v>
                </c:pt>
                <c:pt idx="26">
                  <c:v>2023 June</c:v>
                </c:pt>
                <c:pt idx="27">
                  <c:v>2023 July</c:v>
                </c:pt>
                <c:pt idx="28">
                  <c:v>2023 August</c:v>
                </c:pt>
                <c:pt idx="29">
                  <c:v>2023 September</c:v>
                </c:pt>
                <c:pt idx="30">
                  <c:v>2023 October</c:v>
                </c:pt>
                <c:pt idx="31">
                  <c:v>2023 November</c:v>
                </c:pt>
                <c:pt idx="32">
                  <c:v>2023 December</c:v>
                </c:pt>
                <c:pt idx="33">
                  <c:v>2024 January</c:v>
                </c:pt>
                <c:pt idx="34">
                  <c:v>2024 February</c:v>
                </c:pt>
                <c:pt idx="35">
                  <c:v>2024 March</c:v>
                </c:pt>
                <c:pt idx="36">
                  <c:v>2024 April</c:v>
                </c:pt>
                <c:pt idx="37">
                  <c:v>2024 May</c:v>
                </c:pt>
                <c:pt idx="38">
                  <c:v>2024 June</c:v>
                </c:pt>
                <c:pt idx="39">
                  <c:v>2024 July</c:v>
                </c:pt>
                <c:pt idx="40">
                  <c:v>2024 August</c:v>
                </c:pt>
                <c:pt idx="41">
                  <c:v>2024 September</c:v>
                </c:pt>
                <c:pt idx="42">
                  <c:v>2024 October</c:v>
                </c:pt>
                <c:pt idx="43">
                  <c:v>2024 November</c:v>
                </c:pt>
                <c:pt idx="44">
                  <c:v>2024 December</c:v>
                </c:pt>
                <c:pt idx="45">
                  <c:v>2025 January</c:v>
                </c:pt>
                <c:pt idx="46">
                  <c:v>2025 February</c:v>
                </c:pt>
                <c:pt idx="47">
                  <c:v>2025 March</c:v>
                </c:pt>
                <c:pt idx="48">
                  <c:v>2025 April</c:v>
                </c:pt>
                <c:pt idx="49">
                  <c:v>2025 May</c:v>
                </c:pt>
                <c:pt idx="50">
                  <c:v>2025 June</c:v>
                </c:pt>
                <c:pt idx="51">
                  <c:v>2025 July</c:v>
                </c:pt>
                <c:pt idx="52">
                  <c:v>2025 August</c:v>
                </c:pt>
                <c:pt idx="53">
                  <c:v>2025 September</c:v>
                </c:pt>
                <c:pt idx="54">
                  <c:v>2025 October</c:v>
                </c:pt>
                <c:pt idx="55">
                  <c:v>2025 November</c:v>
                </c:pt>
                <c:pt idx="56">
                  <c:v>2025 December</c:v>
                </c:pt>
                <c:pt idx="57">
                  <c:v>2026 January</c:v>
                </c:pt>
                <c:pt idx="58">
                  <c:v>2026 February</c:v>
                </c:pt>
                <c:pt idx="59">
                  <c:v>2026 March</c:v>
                </c:pt>
                <c:pt idx="60">
                  <c:v>2026 April</c:v>
                </c:pt>
              </c:strCache>
            </c:strRef>
          </c:cat>
          <c:val>
            <c:numRef>
              <c:f>Sheet2!$G$2:$G$62</c:f>
              <c:numCache>
                <c:formatCode>General</c:formatCode>
                <c:ptCount val="61"/>
                <c:pt idx="0">
                  <c:v>135000</c:v>
                </c:pt>
                <c:pt idx="1">
                  <c:v>140000</c:v>
                </c:pt>
                <c:pt idx="2">
                  <c:v>138000</c:v>
                </c:pt>
                <c:pt idx="3">
                  <c:v>145000</c:v>
                </c:pt>
                <c:pt idx="4">
                  <c:v>150000</c:v>
                </c:pt>
                <c:pt idx="5">
                  <c:v>148000</c:v>
                </c:pt>
                <c:pt idx="6">
                  <c:v>155000</c:v>
                </c:pt>
                <c:pt idx="7">
                  <c:v>160000</c:v>
                </c:pt>
                <c:pt idx="8">
                  <c:v>158000</c:v>
                </c:pt>
                <c:pt idx="9">
                  <c:v>180000</c:v>
                </c:pt>
                <c:pt idx="10">
                  <c:v>175000</c:v>
                </c:pt>
                <c:pt idx="11">
                  <c:v>190000</c:v>
                </c:pt>
                <c:pt idx="12">
                  <c:v>201000</c:v>
                </c:pt>
                <c:pt idx="13">
                  <c:v>210000</c:v>
                </c:pt>
                <c:pt idx="14">
                  <c:v>225000</c:v>
                </c:pt>
                <c:pt idx="15">
                  <c:v>240000</c:v>
                </c:pt>
                <c:pt idx="16">
                  <c:v>255000</c:v>
                </c:pt>
                <c:pt idx="17">
                  <c:v>270000</c:v>
                </c:pt>
                <c:pt idx="18">
                  <c:v>300000</c:v>
                </c:pt>
                <c:pt idx="19">
                  <c:v>310000</c:v>
                </c:pt>
                <c:pt idx="20">
                  <c:v>290000</c:v>
                </c:pt>
                <c:pt idx="21">
                  <c:v>330000</c:v>
                </c:pt>
                <c:pt idx="22">
                  <c:v>315000</c:v>
                </c:pt>
                <c:pt idx="23">
                  <c:v>350000</c:v>
                </c:pt>
                <c:pt idx="24">
                  <c:v>340000</c:v>
                </c:pt>
                <c:pt idx="25">
                  <c:v>330000</c:v>
                </c:pt>
                <c:pt idx="26">
                  <c:v>320000</c:v>
                </c:pt>
                <c:pt idx="27">
                  <c:v>345000</c:v>
                </c:pt>
                <c:pt idx="28">
                  <c:v>360000</c:v>
                </c:pt>
                <c:pt idx="29">
                  <c:v>355000</c:v>
                </c:pt>
                <c:pt idx="30">
                  <c:v>370000</c:v>
                </c:pt>
                <c:pt idx="31">
                  <c:v>365000</c:v>
                </c:pt>
                <c:pt idx="32">
                  <c:v>350000</c:v>
                </c:pt>
                <c:pt idx="33">
                  <c:v>390000</c:v>
                </c:pt>
                <c:pt idx="34">
                  <c:v>380000</c:v>
                </c:pt>
                <c:pt idx="35">
                  <c:v>400000</c:v>
                </c:pt>
                <c:pt idx="36">
                  <c:v>395000</c:v>
                </c:pt>
                <c:pt idx="37">
                  <c:v>385000</c:v>
                </c:pt>
                <c:pt idx="38">
                  <c:v>375000</c:v>
                </c:pt>
                <c:pt idx="39">
                  <c:v>390000</c:v>
                </c:pt>
                <c:pt idx="40">
                  <c:v>410000</c:v>
                </c:pt>
                <c:pt idx="41">
                  <c:v>405000</c:v>
                </c:pt>
                <c:pt idx="42">
                  <c:v>420000</c:v>
                </c:pt>
                <c:pt idx="43">
                  <c:v>415000</c:v>
                </c:pt>
                <c:pt idx="44">
                  <c:v>400000</c:v>
                </c:pt>
                <c:pt idx="45">
                  <c:v>440000</c:v>
                </c:pt>
                <c:pt idx="46">
                  <c:v>430000</c:v>
                </c:pt>
                <c:pt idx="47">
                  <c:v>455000</c:v>
                </c:pt>
                <c:pt idx="48">
                  <c:v>450000</c:v>
                </c:pt>
                <c:pt idx="49">
                  <c:v>440000</c:v>
                </c:pt>
                <c:pt idx="50">
                  <c:v>435000</c:v>
                </c:pt>
                <c:pt idx="51">
                  <c:v>450000</c:v>
                </c:pt>
                <c:pt idx="52">
                  <c:v>470000</c:v>
                </c:pt>
                <c:pt idx="53">
                  <c:v>465000</c:v>
                </c:pt>
                <c:pt idx="54">
                  <c:v>480000</c:v>
                </c:pt>
                <c:pt idx="55">
                  <c:v>475000</c:v>
                </c:pt>
                <c:pt idx="56">
                  <c:v>460000</c:v>
                </c:pt>
                <c:pt idx="57">
                  <c:v>500000</c:v>
                </c:pt>
                <c:pt idx="58">
                  <c:v>490000</c:v>
                </c:pt>
                <c:pt idx="59">
                  <c:v>510000</c:v>
                </c:pt>
                <c:pt idx="60">
                  <c:v>505000</c:v>
                </c:pt>
              </c:numCache>
            </c:numRef>
          </c:val>
          <c:smooth val="0"/>
          <c:extLst>
            <c:ext xmlns:c16="http://schemas.microsoft.com/office/drawing/2014/chart" uri="{C3380CC4-5D6E-409C-BE32-E72D297353CC}">
              <c16:uniqueId val="{00000000-0442-4913-AB23-D24E16F3E970}"/>
            </c:ext>
          </c:extLst>
        </c:ser>
        <c:dLbls>
          <c:showLegendKey val="0"/>
          <c:showVal val="0"/>
          <c:showCatName val="0"/>
          <c:showSerName val="0"/>
          <c:showPercent val="0"/>
          <c:showBubbleSize val="0"/>
        </c:dLbls>
        <c:smooth val="0"/>
        <c:axId val="605817071"/>
        <c:axId val="605842511"/>
      </c:lineChart>
      <c:catAx>
        <c:axId val="6058170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5842511"/>
        <c:crosses val="autoZero"/>
        <c:auto val="1"/>
        <c:lblAlgn val="ctr"/>
        <c:lblOffset val="100"/>
        <c:noMultiLvlLbl val="0"/>
      </c:catAx>
      <c:valAx>
        <c:axId val="6058425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581707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307975</xdr:colOff>
      <xdr:row>1</xdr:row>
      <xdr:rowOff>127000</xdr:rowOff>
    </xdr:from>
    <xdr:to>
      <xdr:col>15</xdr:col>
      <xdr:colOff>3175</xdr:colOff>
      <xdr:row>15</xdr:row>
      <xdr:rowOff>31750</xdr:rowOff>
    </xdr:to>
    <xdr:graphicFrame macro="">
      <xdr:nvGraphicFramePr>
        <xdr:cNvPr id="4" name="Chart 3">
          <a:extLst>
            <a:ext uri="{FF2B5EF4-FFF2-40B4-BE49-F238E27FC236}">
              <a16:creationId xmlns:a16="http://schemas.microsoft.com/office/drawing/2014/main" id="{B93CA25C-C679-F130-6FCE-B06700032A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3"/>
  <sheetViews>
    <sheetView showGridLines="0" workbookViewId="0">
      <pane ySplit="4" topLeftCell="A5" activePane="bottomLeft" state="frozen"/>
      <selection pane="bottomLeft" sqref="A1:E1"/>
    </sheetView>
  </sheetViews>
  <sheetFormatPr defaultRowHeight="14.5" x14ac:dyDescent="0.35"/>
  <cols>
    <col min="1" max="1" width="6" customWidth="1"/>
    <col min="2" max="2" width="40" customWidth="1"/>
    <col min="3" max="3" width="34" customWidth="1"/>
    <col min="4" max="4" width="42" customWidth="1"/>
    <col min="5" max="5" width="18" customWidth="1"/>
  </cols>
  <sheetData>
    <row r="1" spans="1:5" ht="24" customHeight="1" x14ac:dyDescent="0.35">
      <c r="A1" s="20" t="s">
        <v>0</v>
      </c>
      <c r="B1" s="19"/>
      <c r="C1" s="19"/>
      <c r="D1" s="19"/>
      <c r="E1" s="19"/>
    </row>
    <row r="2" spans="1:5" ht="30" customHeight="1" x14ac:dyDescent="0.35">
      <c r="A2" s="18" t="s">
        <v>1</v>
      </c>
      <c r="B2" s="19"/>
      <c r="C2" s="19"/>
      <c r="D2" s="19"/>
      <c r="E2" s="19"/>
    </row>
    <row r="4" spans="1:5" ht="26" customHeight="1" x14ac:dyDescent="0.35">
      <c r="A4" s="1" t="s">
        <v>2</v>
      </c>
      <c r="B4" s="1" t="s">
        <v>3</v>
      </c>
      <c r="C4" s="1" t="s">
        <v>4</v>
      </c>
      <c r="D4" s="1" t="s">
        <v>5</v>
      </c>
      <c r="E4" s="1" t="s">
        <v>6</v>
      </c>
    </row>
    <row r="5" spans="1:5" ht="56" customHeight="1" x14ac:dyDescent="0.35">
      <c r="A5" s="2">
        <v>1</v>
      </c>
      <c r="B5" s="3" t="s">
        <v>7</v>
      </c>
      <c r="C5" s="3" t="s">
        <v>8</v>
      </c>
      <c r="D5" s="3" t="s">
        <v>9</v>
      </c>
      <c r="E5" s="4" t="s">
        <v>10</v>
      </c>
    </row>
    <row r="6" spans="1:5" ht="56" customHeight="1" x14ac:dyDescent="0.35">
      <c r="A6" s="6">
        <v>2</v>
      </c>
      <c r="B6" s="7" t="s">
        <v>11</v>
      </c>
      <c r="C6" s="7" t="s">
        <v>12</v>
      </c>
      <c r="D6" s="7" t="s">
        <v>13</v>
      </c>
      <c r="E6" s="8" t="s">
        <v>14</v>
      </c>
    </row>
    <row r="7" spans="1:5" ht="42" customHeight="1" x14ac:dyDescent="0.35">
      <c r="A7" s="2">
        <v>3</v>
      </c>
      <c r="B7" s="3" t="s">
        <v>15</v>
      </c>
      <c r="C7" s="3" t="s">
        <v>16</v>
      </c>
      <c r="D7" s="3" t="s">
        <v>17</v>
      </c>
      <c r="E7" s="8" t="s">
        <v>14</v>
      </c>
    </row>
    <row r="8" spans="1:5" ht="42" customHeight="1" x14ac:dyDescent="0.35">
      <c r="A8" s="6">
        <v>4</v>
      </c>
      <c r="B8" s="7" t="s">
        <v>18</v>
      </c>
      <c r="C8" s="7" t="s">
        <v>19</v>
      </c>
      <c r="D8" s="7" t="s">
        <v>20</v>
      </c>
      <c r="E8" s="4" t="s">
        <v>21</v>
      </c>
    </row>
    <row r="9" spans="1:5" ht="56" customHeight="1" x14ac:dyDescent="0.35">
      <c r="A9" s="2">
        <v>5</v>
      </c>
      <c r="B9" s="3" t="s">
        <v>22</v>
      </c>
      <c r="C9" s="3" t="s">
        <v>23</v>
      </c>
      <c r="D9" s="3" t="s">
        <v>24</v>
      </c>
      <c r="E9" s="8" t="s">
        <v>14</v>
      </c>
    </row>
    <row r="10" spans="1:5" ht="42" customHeight="1" x14ac:dyDescent="0.35">
      <c r="A10" s="6">
        <v>6</v>
      </c>
      <c r="B10" s="7" t="s">
        <v>25</v>
      </c>
      <c r="C10" s="7" t="s">
        <v>26</v>
      </c>
      <c r="D10" s="7" t="s">
        <v>27</v>
      </c>
      <c r="E10" s="8" t="s">
        <v>14</v>
      </c>
    </row>
    <row r="11" spans="1:5" ht="42" customHeight="1" x14ac:dyDescent="0.35">
      <c r="A11" s="2">
        <v>7</v>
      </c>
      <c r="B11" s="3" t="s">
        <v>28</v>
      </c>
      <c r="C11" s="3" t="s">
        <v>29</v>
      </c>
      <c r="D11" s="3" t="s">
        <v>30</v>
      </c>
      <c r="E11" s="8" t="s">
        <v>14</v>
      </c>
    </row>
    <row r="12" spans="1:5" ht="42" customHeight="1" x14ac:dyDescent="0.35">
      <c r="A12" s="6">
        <v>8</v>
      </c>
      <c r="B12" s="7" t="s">
        <v>31</v>
      </c>
      <c r="C12" s="7" t="s">
        <v>32</v>
      </c>
      <c r="D12" s="7" t="s">
        <v>33</v>
      </c>
      <c r="E12" s="8" t="s">
        <v>14</v>
      </c>
    </row>
    <row r="13" spans="1:5" ht="56" customHeight="1" x14ac:dyDescent="0.35">
      <c r="A13" s="2">
        <v>9</v>
      </c>
      <c r="B13" s="3" t="s">
        <v>34</v>
      </c>
      <c r="C13" s="3" t="s">
        <v>35</v>
      </c>
      <c r="D13" s="3" t="s">
        <v>36</v>
      </c>
      <c r="E13" s="8" t="s">
        <v>14</v>
      </c>
    </row>
  </sheetData>
  <autoFilter ref="A4:E13" xr:uid="{00000000-0009-0000-0000-000000000000}"/>
  <mergeCells count="2">
    <mergeCell ref="A2:E2"/>
    <mergeCell ref="A1:E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3"/>
  <sheetViews>
    <sheetView showGridLines="0" workbookViewId="0">
      <pane ySplit="4" topLeftCell="A5" activePane="bottomLeft" state="frozen"/>
      <selection pane="bottomLeft" sqref="A1:H1"/>
    </sheetView>
  </sheetViews>
  <sheetFormatPr defaultRowHeight="14.5" x14ac:dyDescent="0.35"/>
  <cols>
    <col min="1" max="1" width="6" customWidth="1"/>
    <col min="2" max="2" width="24" customWidth="1"/>
    <col min="3" max="3" width="38" customWidth="1"/>
    <col min="4" max="4" width="36" customWidth="1"/>
    <col min="5" max="5" width="50" customWidth="1"/>
    <col min="6" max="6" width="40" customWidth="1"/>
    <col min="7" max="7" width="24" customWidth="1"/>
    <col min="8" max="8" width="55" customWidth="1"/>
  </cols>
  <sheetData>
    <row r="1" spans="1:8" ht="24" customHeight="1" x14ac:dyDescent="0.35">
      <c r="A1" s="20" t="s">
        <v>37</v>
      </c>
      <c r="B1" s="19"/>
      <c r="C1" s="19"/>
      <c r="D1" s="19"/>
      <c r="E1" s="19"/>
      <c r="F1" s="19"/>
      <c r="G1" s="19"/>
      <c r="H1" s="19"/>
    </row>
    <row r="2" spans="1:8" ht="24" customHeight="1" x14ac:dyDescent="0.35">
      <c r="A2" s="21" t="s">
        <v>38</v>
      </c>
      <c r="B2" s="19"/>
      <c r="C2" s="19"/>
      <c r="D2" s="19"/>
      <c r="E2" s="19"/>
      <c r="F2" s="19"/>
      <c r="G2" s="19"/>
      <c r="H2" s="19"/>
    </row>
    <row r="3" spans="1:8" ht="42" customHeight="1" x14ac:dyDescent="0.35">
      <c r="A3" s="18" t="s">
        <v>39</v>
      </c>
      <c r="B3" s="19"/>
      <c r="C3" s="19"/>
      <c r="D3" s="19"/>
      <c r="E3" s="19"/>
      <c r="F3" s="19"/>
      <c r="G3" s="19"/>
      <c r="H3" s="19"/>
    </row>
    <row r="4" spans="1:8" ht="26" customHeight="1" x14ac:dyDescent="0.35">
      <c r="A4" s="1" t="s">
        <v>2</v>
      </c>
      <c r="B4" s="1" t="s">
        <v>40</v>
      </c>
      <c r="C4" s="1" t="s">
        <v>3</v>
      </c>
      <c r="D4" s="1" t="s">
        <v>41</v>
      </c>
      <c r="E4" s="1" t="s">
        <v>42</v>
      </c>
      <c r="F4" s="1" t="s">
        <v>43</v>
      </c>
      <c r="G4" s="1" t="s">
        <v>44</v>
      </c>
      <c r="H4" s="1" t="s">
        <v>45</v>
      </c>
    </row>
    <row r="5" spans="1:8" ht="154" customHeight="1" x14ac:dyDescent="0.35">
      <c r="A5" s="2">
        <v>1</v>
      </c>
      <c r="B5" s="3" t="s">
        <v>46</v>
      </c>
      <c r="C5" s="3" t="s">
        <v>7</v>
      </c>
      <c r="D5" s="3" t="s">
        <v>47</v>
      </c>
      <c r="E5" s="3" t="s">
        <v>48</v>
      </c>
      <c r="F5" s="3" t="s">
        <v>49</v>
      </c>
      <c r="G5" s="4" t="s">
        <v>50</v>
      </c>
      <c r="H5" s="5" t="s">
        <v>51</v>
      </c>
    </row>
    <row r="6" spans="1:8" ht="180" customHeight="1" x14ac:dyDescent="0.35">
      <c r="A6" s="6">
        <v>2</v>
      </c>
      <c r="B6" s="7" t="s">
        <v>52</v>
      </c>
      <c r="C6" s="7" t="s">
        <v>11</v>
      </c>
      <c r="D6" s="7" t="s">
        <v>53</v>
      </c>
      <c r="E6" s="7" t="s">
        <v>54</v>
      </c>
      <c r="F6" s="7" t="s">
        <v>55</v>
      </c>
      <c r="G6" s="8" t="s">
        <v>14</v>
      </c>
      <c r="H6" s="9" t="s">
        <v>56</v>
      </c>
    </row>
    <row r="7" spans="1:8" ht="180" customHeight="1" x14ac:dyDescent="0.35">
      <c r="A7" s="2">
        <v>3</v>
      </c>
      <c r="B7" s="3" t="s">
        <v>57</v>
      </c>
      <c r="C7" s="3" t="s">
        <v>15</v>
      </c>
      <c r="D7" s="3" t="s">
        <v>58</v>
      </c>
      <c r="E7" s="3" t="s">
        <v>59</v>
      </c>
      <c r="F7" s="3" t="s">
        <v>60</v>
      </c>
      <c r="G7" s="8" t="s">
        <v>14</v>
      </c>
      <c r="H7" s="5" t="s">
        <v>61</v>
      </c>
    </row>
    <row r="8" spans="1:8" ht="140" customHeight="1" x14ac:dyDescent="0.35">
      <c r="A8" s="6">
        <v>4</v>
      </c>
      <c r="B8" s="7" t="s">
        <v>62</v>
      </c>
      <c r="C8" s="7" t="s">
        <v>18</v>
      </c>
      <c r="D8" s="7" t="s">
        <v>63</v>
      </c>
      <c r="E8" s="7" t="s">
        <v>64</v>
      </c>
      <c r="F8" s="7" t="s">
        <v>65</v>
      </c>
      <c r="G8" s="4" t="s">
        <v>66</v>
      </c>
      <c r="H8" s="9" t="s">
        <v>67</v>
      </c>
    </row>
    <row r="9" spans="1:8" ht="98" customHeight="1" x14ac:dyDescent="0.35">
      <c r="A9" s="2">
        <v>5</v>
      </c>
      <c r="B9" s="3" t="s">
        <v>68</v>
      </c>
      <c r="C9" s="3" t="s">
        <v>22</v>
      </c>
      <c r="D9" s="3" t="s">
        <v>69</v>
      </c>
      <c r="E9" s="3" t="s">
        <v>70</v>
      </c>
      <c r="F9" s="3" t="s">
        <v>71</v>
      </c>
      <c r="G9" s="8" t="s">
        <v>14</v>
      </c>
      <c r="H9" s="5" t="s">
        <v>72</v>
      </c>
    </row>
    <row r="10" spans="1:8" ht="84" customHeight="1" x14ac:dyDescent="0.35">
      <c r="A10" s="6">
        <v>6</v>
      </c>
      <c r="B10" s="7" t="s">
        <v>73</v>
      </c>
      <c r="C10" s="7" t="s">
        <v>25</v>
      </c>
      <c r="D10" s="7" t="s">
        <v>74</v>
      </c>
      <c r="E10" s="7" t="s">
        <v>75</v>
      </c>
      <c r="F10" s="7" t="s">
        <v>76</v>
      </c>
      <c r="G10" s="8" t="s">
        <v>14</v>
      </c>
      <c r="H10" s="9" t="s">
        <v>77</v>
      </c>
    </row>
    <row r="11" spans="1:8" ht="126" customHeight="1" x14ac:dyDescent="0.35">
      <c r="A11" s="2">
        <v>7</v>
      </c>
      <c r="B11" s="3" t="s">
        <v>78</v>
      </c>
      <c r="C11" s="3" t="s">
        <v>28</v>
      </c>
      <c r="D11" s="3" t="s">
        <v>79</v>
      </c>
      <c r="E11" s="3" t="s">
        <v>80</v>
      </c>
      <c r="F11" s="3" t="s">
        <v>81</v>
      </c>
      <c r="G11" s="8" t="s">
        <v>14</v>
      </c>
      <c r="H11" s="5" t="s">
        <v>82</v>
      </c>
    </row>
    <row r="12" spans="1:8" ht="140" customHeight="1" x14ac:dyDescent="0.35">
      <c r="A12" s="6">
        <v>8</v>
      </c>
      <c r="B12" s="7" t="s">
        <v>83</v>
      </c>
      <c r="C12" s="7" t="s">
        <v>31</v>
      </c>
      <c r="D12" s="7" t="s">
        <v>84</v>
      </c>
      <c r="E12" s="7" t="s">
        <v>85</v>
      </c>
      <c r="F12" s="7" t="s">
        <v>86</v>
      </c>
      <c r="G12" s="8" t="s">
        <v>14</v>
      </c>
      <c r="H12" s="9" t="s">
        <v>87</v>
      </c>
    </row>
    <row r="13" spans="1:8" ht="168" customHeight="1" x14ac:dyDescent="0.35">
      <c r="A13" s="2">
        <v>9</v>
      </c>
      <c r="B13" s="3" t="s">
        <v>88</v>
      </c>
      <c r="C13" s="3" t="s">
        <v>34</v>
      </c>
      <c r="D13" s="3" t="s">
        <v>89</v>
      </c>
      <c r="E13" s="3" t="s">
        <v>90</v>
      </c>
      <c r="F13" s="3" t="s">
        <v>91</v>
      </c>
      <c r="G13" s="8" t="s">
        <v>92</v>
      </c>
      <c r="H13" s="5" t="s">
        <v>93</v>
      </c>
    </row>
  </sheetData>
  <autoFilter ref="A4:H13" xr:uid="{00000000-0009-0000-0000-000001000000}"/>
  <mergeCells count="3">
    <mergeCell ref="A3:H3"/>
    <mergeCell ref="A2:H2"/>
    <mergeCell ref="A1:H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6"/>
  <sheetViews>
    <sheetView showGridLines="0" workbookViewId="0">
      <pane ySplit="4" topLeftCell="A5" activePane="bottomLeft" state="frozen"/>
      <selection pane="bottomLeft" sqref="A1:F1"/>
    </sheetView>
  </sheetViews>
  <sheetFormatPr defaultRowHeight="14.5" x14ac:dyDescent="0.35"/>
  <cols>
    <col min="1" max="1" width="24" customWidth="1"/>
    <col min="2" max="2" width="34" customWidth="1"/>
    <col min="3" max="3" width="30" customWidth="1"/>
    <col min="4" max="5" width="34" customWidth="1"/>
    <col min="6" max="6" width="24" customWidth="1"/>
  </cols>
  <sheetData>
    <row r="1" spans="1:6" ht="24" customHeight="1" x14ac:dyDescent="0.35">
      <c r="A1" s="20" t="s">
        <v>94</v>
      </c>
      <c r="B1" s="19"/>
      <c r="C1" s="19"/>
      <c r="D1" s="19"/>
      <c r="E1" s="19"/>
      <c r="F1" s="19"/>
    </row>
    <row r="2" spans="1:6" ht="42" customHeight="1" x14ac:dyDescent="0.35">
      <c r="A2" s="18" t="s">
        <v>95</v>
      </c>
      <c r="B2" s="19"/>
      <c r="C2" s="19"/>
      <c r="D2" s="19"/>
      <c r="E2" s="19"/>
      <c r="F2" s="19"/>
    </row>
    <row r="4" spans="1:6" ht="26" customHeight="1" x14ac:dyDescent="0.35">
      <c r="A4" s="1" t="s">
        <v>96</v>
      </c>
      <c r="B4" s="1" t="s">
        <v>97</v>
      </c>
      <c r="C4" s="1" t="s">
        <v>98</v>
      </c>
      <c r="D4" s="1" t="s">
        <v>78</v>
      </c>
      <c r="E4" s="1" t="s">
        <v>83</v>
      </c>
      <c r="F4" s="1" t="s">
        <v>99</v>
      </c>
    </row>
    <row r="5" spans="1:6" ht="140" customHeight="1" x14ac:dyDescent="0.35">
      <c r="A5" s="3" t="s">
        <v>100</v>
      </c>
      <c r="B5" s="3" t="s">
        <v>101</v>
      </c>
      <c r="C5" s="3" t="s">
        <v>102</v>
      </c>
      <c r="D5" s="3" t="s">
        <v>103</v>
      </c>
      <c r="E5" s="3" t="s">
        <v>104</v>
      </c>
      <c r="F5" s="3" t="s">
        <v>105</v>
      </c>
    </row>
    <row r="6" spans="1:6" ht="112" customHeight="1" x14ac:dyDescent="0.35">
      <c r="A6" s="7" t="s">
        <v>106</v>
      </c>
      <c r="B6" s="7" t="s">
        <v>107</v>
      </c>
      <c r="C6" s="7" t="s">
        <v>108</v>
      </c>
      <c r="D6" s="7" t="s">
        <v>109</v>
      </c>
      <c r="E6" s="7" t="s">
        <v>110</v>
      </c>
      <c r="F6" s="7" t="s">
        <v>111</v>
      </c>
    </row>
  </sheetData>
  <autoFilter ref="A4:F6" xr:uid="{00000000-0009-0000-0000-000002000000}"/>
  <mergeCells count="2">
    <mergeCell ref="A2:F2"/>
    <mergeCell ref="A1:F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CE9345-FC91-4D0C-9835-473AC28707EE}">
  <dimension ref="B1:AP30"/>
  <sheetViews>
    <sheetView tabSelected="1" topLeftCell="H1" zoomScale="60" zoomScaleNormal="60" workbookViewId="0">
      <selection activeCell="AD2" sqref="AD2"/>
    </sheetView>
  </sheetViews>
  <sheetFormatPr defaultRowHeight="14.5" x14ac:dyDescent="0.35"/>
  <cols>
    <col min="2" max="2" width="16.08984375" bestFit="1" customWidth="1"/>
    <col min="3" max="3" width="8.453125" bestFit="1" customWidth="1"/>
    <col min="7" max="7" width="10.36328125" bestFit="1" customWidth="1"/>
    <col min="9" max="9" width="16.08984375" bestFit="1" customWidth="1"/>
    <col min="10" max="10" width="11.54296875" bestFit="1" customWidth="1"/>
    <col min="12" max="12" width="9.6328125" bestFit="1" customWidth="1"/>
    <col min="14" max="14" width="11.81640625" bestFit="1" customWidth="1"/>
    <col min="15" max="15" width="13.1796875" bestFit="1" customWidth="1"/>
    <col min="16" max="16" width="12.6328125" bestFit="1" customWidth="1"/>
    <col min="17" max="17" width="14.54296875" bestFit="1" customWidth="1"/>
    <col min="30" max="30" width="15.6328125" bestFit="1" customWidth="1"/>
  </cols>
  <sheetData>
    <row r="1" spans="2:40" x14ac:dyDescent="0.35">
      <c r="B1" t="s">
        <v>170</v>
      </c>
      <c r="P1" t="s">
        <v>171</v>
      </c>
      <c r="AD1" t="s">
        <v>175</v>
      </c>
    </row>
    <row r="3" spans="2:40" x14ac:dyDescent="0.35">
      <c r="B3" s="10"/>
      <c r="C3" s="11" t="s">
        <v>112</v>
      </c>
      <c r="D3" s="11" t="s">
        <v>113</v>
      </c>
      <c r="E3" s="11" t="s">
        <v>114</v>
      </c>
      <c r="F3" s="11" t="s">
        <v>115</v>
      </c>
      <c r="G3" s="11" t="s">
        <v>116</v>
      </c>
      <c r="H3" s="11" t="s">
        <v>117</v>
      </c>
      <c r="I3" s="11" t="s">
        <v>118</v>
      </c>
      <c r="J3" s="11" t="s">
        <v>121</v>
      </c>
      <c r="K3" s="11" t="s">
        <v>119</v>
      </c>
      <c r="L3" s="11" t="s">
        <v>120</v>
      </c>
      <c r="P3" s="10"/>
      <c r="Q3" s="11" t="s">
        <v>112</v>
      </c>
      <c r="R3" s="11" t="s">
        <v>113</v>
      </c>
      <c r="S3" s="11" t="s">
        <v>114</v>
      </c>
      <c r="T3" s="11" t="s">
        <v>115</v>
      </c>
      <c r="U3" s="11" t="s">
        <v>116</v>
      </c>
      <c r="V3" s="11" t="s">
        <v>117</v>
      </c>
      <c r="W3" s="11" t="s">
        <v>118</v>
      </c>
      <c r="X3" s="11" t="s">
        <v>121</v>
      </c>
      <c r="Y3" s="11" t="s">
        <v>119</v>
      </c>
      <c r="Z3" s="11" t="s">
        <v>169</v>
      </c>
      <c r="AD3" s="10"/>
      <c r="AE3" s="11" t="s">
        <v>112</v>
      </c>
      <c r="AF3" s="11" t="s">
        <v>113</v>
      </c>
      <c r="AG3" s="11" t="s">
        <v>114</v>
      </c>
      <c r="AH3" s="11" t="s">
        <v>115</v>
      </c>
      <c r="AI3" s="11" t="s">
        <v>116</v>
      </c>
      <c r="AJ3" s="11" t="s">
        <v>117</v>
      </c>
      <c r="AK3" s="11" t="s">
        <v>118</v>
      </c>
      <c r="AL3" s="11" t="s">
        <v>121</v>
      </c>
      <c r="AM3" s="11" t="s">
        <v>119</v>
      </c>
      <c r="AN3" s="11" t="s">
        <v>120</v>
      </c>
    </row>
    <row r="4" spans="2:40" x14ac:dyDescent="0.35">
      <c r="B4" s="11" t="s">
        <v>112</v>
      </c>
      <c r="C4" s="10">
        <v>0</v>
      </c>
      <c r="D4" s="10">
        <v>38</v>
      </c>
      <c r="E4" s="10">
        <v>58</v>
      </c>
      <c r="F4" s="10">
        <v>73</v>
      </c>
      <c r="G4" s="10">
        <v>80</v>
      </c>
      <c r="H4" s="10">
        <v>67</v>
      </c>
      <c r="I4" s="10">
        <v>60</v>
      </c>
      <c r="J4" s="10">
        <v>62</v>
      </c>
      <c r="K4" s="10">
        <v>49</v>
      </c>
      <c r="L4" s="10">
        <v>31</v>
      </c>
      <c r="P4" s="11" t="s">
        <v>112</v>
      </c>
      <c r="Q4" s="10">
        <v>0</v>
      </c>
      <c r="R4" s="10">
        <v>23</v>
      </c>
      <c r="S4" s="10">
        <v>93</v>
      </c>
      <c r="T4" s="10">
        <v>86</v>
      </c>
      <c r="U4" s="10">
        <v>73</v>
      </c>
      <c r="V4" s="10">
        <v>75</v>
      </c>
      <c r="W4" s="10">
        <v>50</v>
      </c>
      <c r="X4" s="10">
        <v>91</v>
      </c>
      <c r="Y4" s="10">
        <v>48</v>
      </c>
      <c r="Z4" s="10">
        <v>21</v>
      </c>
      <c r="AD4" s="11" t="s">
        <v>112</v>
      </c>
      <c r="AE4" s="10">
        <v>0</v>
      </c>
      <c r="AF4" s="10">
        <v>18</v>
      </c>
      <c r="AG4" s="10">
        <v>34</v>
      </c>
      <c r="AH4" s="10">
        <v>62</v>
      </c>
      <c r="AI4" s="10">
        <v>88</v>
      </c>
      <c r="AJ4" s="10">
        <v>76</v>
      </c>
      <c r="AK4" s="10">
        <v>71</v>
      </c>
      <c r="AL4" s="10">
        <v>55</v>
      </c>
      <c r="AM4" s="10">
        <v>22</v>
      </c>
      <c r="AN4" s="10">
        <v>47</v>
      </c>
    </row>
    <row r="5" spans="2:40" x14ac:dyDescent="0.35">
      <c r="B5" s="11" t="s">
        <v>113</v>
      </c>
      <c r="C5" s="10">
        <v>38</v>
      </c>
      <c r="D5" s="10">
        <v>0</v>
      </c>
      <c r="E5" s="10">
        <v>40</v>
      </c>
      <c r="F5" s="10">
        <v>42</v>
      </c>
      <c r="G5" s="10">
        <v>56</v>
      </c>
      <c r="H5" s="10">
        <v>53</v>
      </c>
      <c r="I5" s="10">
        <v>64</v>
      </c>
      <c r="J5" s="10">
        <v>36</v>
      </c>
      <c r="K5" s="10">
        <v>22</v>
      </c>
      <c r="L5" s="10">
        <v>27</v>
      </c>
      <c r="P5" s="11" t="s">
        <v>113</v>
      </c>
      <c r="Q5" s="10">
        <v>23</v>
      </c>
      <c r="R5" s="10">
        <v>0</v>
      </c>
      <c r="S5" s="10">
        <v>28</v>
      </c>
      <c r="T5" s="10">
        <v>35</v>
      </c>
      <c r="U5" s="10">
        <v>44</v>
      </c>
      <c r="V5" s="10">
        <v>41</v>
      </c>
      <c r="W5" s="10">
        <v>39</v>
      </c>
      <c r="X5" s="10">
        <v>30</v>
      </c>
      <c r="Y5" s="10">
        <v>1</v>
      </c>
      <c r="Z5" s="10">
        <v>5</v>
      </c>
      <c r="AD5" s="11" t="s">
        <v>113</v>
      </c>
      <c r="AE5" s="10">
        <v>18</v>
      </c>
      <c r="AF5" s="10">
        <v>0</v>
      </c>
      <c r="AG5" s="10">
        <v>12</v>
      </c>
      <c r="AH5" s="10">
        <v>29</v>
      </c>
      <c r="AI5" s="10">
        <v>74</v>
      </c>
      <c r="AJ5" s="10">
        <v>58</v>
      </c>
      <c r="AK5" s="10">
        <v>66</v>
      </c>
      <c r="AL5" s="10">
        <v>24</v>
      </c>
      <c r="AM5" s="10">
        <v>1</v>
      </c>
      <c r="AN5" s="10">
        <v>31</v>
      </c>
    </row>
    <row r="6" spans="2:40" x14ac:dyDescent="0.35">
      <c r="B6" s="11" t="s">
        <v>114</v>
      </c>
      <c r="C6" s="10">
        <v>58</v>
      </c>
      <c r="D6" s="10">
        <v>40</v>
      </c>
      <c r="E6" s="10">
        <v>0</v>
      </c>
      <c r="F6" s="10">
        <v>69</v>
      </c>
      <c r="G6" s="10">
        <v>51</v>
      </c>
      <c r="H6" s="10">
        <v>47</v>
      </c>
      <c r="I6" s="10">
        <v>44</v>
      </c>
      <c r="J6" s="10">
        <v>82</v>
      </c>
      <c r="K6" s="10">
        <v>53</v>
      </c>
      <c r="L6" s="10">
        <v>33</v>
      </c>
      <c r="P6" s="11" t="s">
        <v>114</v>
      </c>
      <c r="Q6" s="10">
        <v>93</v>
      </c>
      <c r="R6" s="10">
        <v>28</v>
      </c>
      <c r="S6" s="10">
        <v>0</v>
      </c>
      <c r="T6" s="10">
        <v>82</v>
      </c>
      <c r="U6" s="10">
        <v>57</v>
      </c>
      <c r="V6" s="10">
        <v>64</v>
      </c>
      <c r="W6" s="10">
        <v>59</v>
      </c>
      <c r="X6" s="10">
        <v>89</v>
      </c>
      <c r="Y6" s="10">
        <v>26</v>
      </c>
      <c r="Z6" s="10">
        <v>8</v>
      </c>
      <c r="AD6" s="11" t="s">
        <v>114</v>
      </c>
      <c r="AE6" s="10">
        <v>34</v>
      </c>
      <c r="AF6" s="10">
        <v>12</v>
      </c>
      <c r="AG6" s="10">
        <v>0</v>
      </c>
      <c r="AH6" s="10">
        <v>44</v>
      </c>
      <c r="AI6" s="10">
        <v>79</v>
      </c>
      <c r="AJ6" s="10">
        <v>63</v>
      </c>
      <c r="AK6" s="10">
        <v>57</v>
      </c>
      <c r="AL6" s="10">
        <v>41</v>
      </c>
      <c r="AM6" s="10">
        <v>15</v>
      </c>
      <c r="AN6" s="10">
        <v>36</v>
      </c>
    </row>
    <row r="7" spans="2:40" x14ac:dyDescent="0.35">
      <c r="B7" s="11" t="s">
        <v>115</v>
      </c>
      <c r="C7" s="10">
        <v>73</v>
      </c>
      <c r="D7" s="10">
        <v>42</v>
      </c>
      <c r="E7" s="10">
        <v>69</v>
      </c>
      <c r="F7" s="10">
        <v>0</v>
      </c>
      <c r="G7" s="10">
        <v>84</v>
      </c>
      <c r="H7" s="10">
        <v>78</v>
      </c>
      <c r="I7" s="10">
        <v>71</v>
      </c>
      <c r="J7" s="10">
        <v>60</v>
      </c>
      <c r="K7" s="10">
        <v>47</v>
      </c>
      <c r="L7" s="10">
        <v>36</v>
      </c>
      <c r="P7" s="11" t="s">
        <v>115</v>
      </c>
      <c r="Q7" s="10">
        <v>86</v>
      </c>
      <c r="R7" s="10">
        <v>35</v>
      </c>
      <c r="S7" s="10">
        <v>82</v>
      </c>
      <c r="T7" s="10">
        <v>0</v>
      </c>
      <c r="U7" s="10">
        <v>71</v>
      </c>
      <c r="V7" s="10">
        <v>66</v>
      </c>
      <c r="W7" s="10">
        <v>62</v>
      </c>
      <c r="X7" s="10">
        <v>84</v>
      </c>
      <c r="Y7" s="10">
        <v>19</v>
      </c>
      <c r="Z7" s="10">
        <v>37</v>
      </c>
      <c r="AD7" s="11" t="s">
        <v>115</v>
      </c>
      <c r="AE7" s="10">
        <v>62</v>
      </c>
      <c r="AF7" s="10">
        <v>29</v>
      </c>
      <c r="AG7" s="10">
        <v>44</v>
      </c>
      <c r="AH7" s="10">
        <v>0</v>
      </c>
      <c r="AI7" s="10">
        <v>95</v>
      </c>
      <c r="AJ7" s="10">
        <v>82</v>
      </c>
      <c r="AK7" s="10">
        <v>77</v>
      </c>
      <c r="AL7" s="10">
        <v>69</v>
      </c>
      <c r="AM7" s="10">
        <v>27</v>
      </c>
      <c r="AN7" s="10">
        <v>53</v>
      </c>
    </row>
    <row r="8" spans="2:40" x14ac:dyDescent="0.35">
      <c r="B8" s="11" t="s">
        <v>116</v>
      </c>
      <c r="C8" s="10">
        <v>80</v>
      </c>
      <c r="D8" s="10">
        <v>56</v>
      </c>
      <c r="E8" s="10">
        <v>51</v>
      </c>
      <c r="F8" s="10">
        <v>84</v>
      </c>
      <c r="G8" s="10">
        <v>0</v>
      </c>
      <c r="H8" s="10">
        <v>98</v>
      </c>
      <c r="I8" s="10">
        <v>96</v>
      </c>
      <c r="J8" s="10">
        <v>76</v>
      </c>
      <c r="K8" s="10">
        <v>42</v>
      </c>
      <c r="L8" s="10">
        <v>62</v>
      </c>
      <c r="P8" s="11" t="s">
        <v>116</v>
      </c>
      <c r="Q8" s="10">
        <v>73</v>
      </c>
      <c r="R8" s="10">
        <v>44</v>
      </c>
      <c r="S8" s="10">
        <v>57</v>
      </c>
      <c r="T8" s="10">
        <v>71</v>
      </c>
      <c r="U8" s="10">
        <v>0</v>
      </c>
      <c r="V8" s="10">
        <v>100</v>
      </c>
      <c r="W8" s="10">
        <v>98</v>
      </c>
      <c r="X8" s="10">
        <v>77</v>
      </c>
      <c r="Y8" s="10">
        <v>17</v>
      </c>
      <c r="Z8" s="10">
        <v>53</v>
      </c>
      <c r="AD8" s="11" t="s">
        <v>116</v>
      </c>
      <c r="AE8" s="10">
        <v>88</v>
      </c>
      <c r="AF8" s="10">
        <v>74</v>
      </c>
      <c r="AG8" s="10">
        <v>79</v>
      </c>
      <c r="AH8" s="10">
        <v>95</v>
      </c>
      <c r="AI8" s="10">
        <v>0</v>
      </c>
      <c r="AJ8" s="10">
        <v>100</v>
      </c>
      <c r="AK8" s="10">
        <v>97</v>
      </c>
      <c r="AL8" s="10">
        <v>84</v>
      </c>
      <c r="AM8" s="10">
        <v>49</v>
      </c>
      <c r="AN8" s="10">
        <v>86</v>
      </c>
    </row>
    <row r="9" spans="2:40" x14ac:dyDescent="0.35">
      <c r="B9" s="11" t="s">
        <v>117</v>
      </c>
      <c r="C9" s="10">
        <v>67</v>
      </c>
      <c r="D9" s="10">
        <v>53</v>
      </c>
      <c r="E9" s="10">
        <v>47</v>
      </c>
      <c r="F9" s="10">
        <v>78</v>
      </c>
      <c r="G9" s="10">
        <v>98</v>
      </c>
      <c r="H9" s="10">
        <v>0</v>
      </c>
      <c r="I9" s="10">
        <v>93</v>
      </c>
      <c r="J9" s="10">
        <v>56</v>
      </c>
      <c r="K9" s="10">
        <v>31</v>
      </c>
      <c r="L9" s="10">
        <v>71</v>
      </c>
      <c r="P9" s="11" t="s">
        <v>117</v>
      </c>
      <c r="Q9" s="10">
        <v>75</v>
      </c>
      <c r="R9" s="10">
        <v>41</v>
      </c>
      <c r="S9" s="10">
        <v>64</v>
      </c>
      <c r="T9" s="10">
        <v>66</v>
      </c>
      <c r="U9" s="10">
        <v>100</v>
      </c>
      <c r="V9" s="10">
        <v>0</v>
      </c>
      <c r="W9" s="10">
        <v>95</v>
      </c>
      <c r="X9" s="10">
        <v>80</v>
      </c>
      <c r="Y9" s="10">
        <v>14</v>
      </c>
      <c r="Z9" s="10">
        <v>55</v>
      </c>
      <c r="AD9" s="11" t="s">
        <v>117</v>
      </c>
      <c r="AE9" s="10">
        <v>76</v>
      </c>
      <c r="AF9" s="10">
        <v>58</v>
      </c>
      <c r="AG9" s="10">
        <v>63</v>
      </c>
      <c r="AH9" s="10">
        <v>82</v>
      </c>
      <c r="AI9" s="10">
        <v>100</v>
      </c>
      <c r="AJ9" s="10">
        <v>0</v>
      </c>
      <c r="AK9" s="10">
        <v>92</v>
      </c>
      <c r="AL9" s="10">
        <v>73</v>
      </c>
      <c r="AM9" s="10">
        <v>39</v>
      </c>
      <c r="AN9" s="10">
        <v>81</v>
      </c>
    </row>
    <row r="10" spans="2:40" x14ac:dyDescent="0.35">
      <c r="B10" s="11" t="s">
        <v>118</v>
      </c>
      <c r="C10" s="10">
        <v>60</v>
      </c>
      <c r="D10" s="10">
        <v>64</v>
      </c>
      <c r="E10" s="10">
        <v>44</v>
      </c>
      <c r="F10" s="10">
        <v>71</v>
      </c>
      <c r="G10" s="10">
        <v>96</v>
      </c>
      <c r="H10" s="10">
        <v>93</v>
      </c>
      <c r="I10" s="10">
        <v>0</v>
      </c>
      <c r="J10" s="10">
        <v>64</v>
      </c>
      <c r="K10" s="10">
        <v>24</v>
      </c>
      <c r="L10" s="10">
        <v>67</v>
      </c>
      <c r="P10" s="11" t="s">
        <v>118</v>
      </c>
      <c r="Q10" s="10">
        <v>50</v>
      </c>
      <c r="R10" s="10">
        <v>39</v>
      </c>
      <c r="S10" s="10">
        <v>59</v>
      </c>
      <c r="T10" s="10">
        <v>62</v>
      </c>
      <c r="U10" s="10">
        <v>98</v>
      </c>
      <c r="V10" s="10">
        <v>95</v>
      </c>
      <c r="W10" s="10">
        <v>0</v>
      </c>
      <c r="X10" s="10">
        <v>68</v>
      </c>
      <c r="Y10" s="10">
        <v>10</v>
      </c>
      <c r="Z10" s="10">
        <v>46</v>
      </c>
      <c r="AD10" s="11" t="s">
        <v>118</v>
      </c>
      <c r="AE10" s="10">
        <v>71</v>
      </c>
      <c r="AF10" s="10">
        <v>66</v>
      </c>
      <c r="AG10" s="10">
        <v>57</v>
      </c>
      <c r="AH10" s="10">
        <v>77</v>
      </c>
      <c r="AI10" s="10">
        <v>97</v>
      </c>
      <c r="AJ10" s="10">
        <v>92</v>
      </c>
      <c r="AK10" s="10">
        <v>0</v>
      </c>
      <c r="AL10" s="10">
        <v>68</v>
      </c>
      <c r="AM10" s="10">
        <v>33</v>
      </c>
      <c r="AN10" s="10">
        <v>89</v>
      </c>
    </row>
    <row r="11" spans="2:40" x14ac:dyDescent="0.35">
      <c r="B11" s="11" t="s">
        <v>121</v>
      </c>
      <c r="C11" s="10">
        <v>62</v>
      </c>
      <c r="D11" s="10">
        <v>36</v>
      </c>
      <c r="E11" s="10">
        <v>82</v>
      </c>
      <c r="F11" s="10">
        <v>60</v>
      </c>
      <c r="G11" s="10">
        <v>76</v>
      </c>
      <c r="H11" s="10">
        <v>56</v>
      </c>
      <c r="I11" s="10">
        <v>64</v>
      </c>
      <c r="J11" s="10">
        <v>0</v>
      </c>
      <c r="K11" s="10">
        <v>40</v>
      </c>
      <c r="L11" s="10">
        <v>29</v>
      </c>
      <c r="P11" s="11" t="s">
        <v>121</v>
      </c>
      <c r="Q11" s="10">
        <v>91</v>
      </c>
      <c r="R11" s="10">
        <v>30</v>
      </c>
      <c r="S11" s="10">
        <v>89</v>
      </c>
      <c r="T11" s="10">
        <v>84</v>
      </c>
      <c r="U11" s="10">
        <v>77</v>
      </c>
      <c r="V11" s="10">
        <v>80</v>
      </c>
      <c r="W11" s="10">
        <v>68</v>
      </c>
      <c r="X11" s="10">
        <v>0</v>
      </c>
      <c r="Y11" s="10">
        <v>12</v>
      </c>
      <c r="Z11" s="10">
        <v>32</v>
      </c>
      <c r="AD11" s="11" t="s">
        <v>121</v>
      </c>
      <c r="AE11" s="10">
        <v>55</v>
      </c>
      <c r="AF11" s="10">
        <v>24</v>
      </c>
      <c r="AG11" s="10">
        <v>41</v>
      </c>
      <c r="AH11" s="10">
        <v>69</v>
      </c>
      <c r="AI11" s="10">
        <v>84</v>
      </c>
      <c r="AJ11" s="10">
        <v>73</v>
      </c>
      <c r="AK11" s="10">
        <v>68</v>
      </c>
      <c r="AL11" s="10">
        <v>0</v>
      </c>
      <c r="AM11" s="10">
        <v>20</v>
      </c>
      <c r="AN11" s="10">
        <v>51</v>
      </c>
    </row>
    <row r="12" spans="2:40" x14ac:dyDescent="0.35">
      <c r="B12" s="11" t="s">
        <v>119</v>
      </c>
      <c r="C12" s="10">
        <v>49</v>
      </c>
      <c r="D12" s="10">
        <v>22</v>
      </c>
      <c r="E12" s="10">
        <v>53</v>
      </c>
      <c r="F12" s="10">
        <v>47</v>
      </c>
      <c r="G12" s="10">
        <v>42</v>
      </c>
      <c r="H12" s="10">
        <v>31</v>
      </c>
      <c r="I12" s="10">
        <v>24</v>
      </c>
      <c r="J12" s="10">
        <v>40</v>
      </c>
      <c r="K12" s="10">
        <v>0</v>
      </c>
      <c r="L12" s="10">
        <v>18</v>
      </c>
      <c r="P12" s="11" t="s">
        <v>119</v>
      </c>
      <c r="Q12" s="10">
        <v>48</v>
      </c>
      <c r="R12" s="10">
        <v>1</v>
      </c>
      <c r="S12" s="10">
        <v>26</v>
      </c>
      <c r="T12" s="10">
        <v>19</v>
      </c>
      <c r="U12" s="10">
        <v>17</v>
      </c>
      <c r="V12" s="10">
        <v>14</v>
      </c>
      <c r="W12" s="10">
        <v>10</v>
      </c>
      <c r="X12" s="10">
        <v>12</v>
      </c>
      <c r="Y12" s="10">
        <v>0</v>
      </c>
      <c r="Z12" s="10">
        <v>3</v>
      </c>
      <c r="AD12" s="11" t="s">
        <v>119</v>
      </c>
      <c r="AE12" s="10">
        <v>22</v>
      </c>
      <c r="AF12" s="10">
        <v>1</v>
      </c>
      <c r="AG12" s="10">
        <v>15</v>
      </c>
      <c r="AH12" s="10">
        <v>27</v>
      </c>
      <c r="AI12" s="10">
        <v>49</v>
      </c>
      <c r="AJ12" s="10">
        <v>39</v>
      </c>
      <c r="AK12" s="10">
        <v>33</v>
      </c>
      <c r="AL12" s="10">
        <v>20</v>
      </c>
      <c r="AM12" s="10">
        <v>0</v>
      </c>
      <c r="AN12" s="10">
        <v>26</v>
      </c>
    </row>
    <row r="13" spans="2:40" x14ac:dyDescent="0.35">
      <c r="B13" s="11" t="s">
        <v>120</v>
      </c>
      <c r="C13" s="10">
        <v>31</v>
      </c>
      <c r="D13" s="10">
        <v>27</v>
      </c>
      <c r="E13" s="10">
        <v>33</v>
      </c>
      <c r="F13" s="10">
        <v>36</v>
      </c>
      <c r="G13" s="10">
        <v>62</v>
      </c>
      <c r="H13" s="10">
        <v>71</v>
      </c>
      <c r="I13" s="10">
        <v>67</v>
      </c>
      <c r="J13" s="10">
        <v>29</v>
      </c>
      <c r="K13" s="10">
        <v>18</v>
      </c>
      <c r="L13" s="10">
        <v>0</v>
      </c>
      <c r="P13" s="11" t="s">
        <v>120</v>
      </c>
      <c r="Q13" s="10">
        <v>21</v>
      </c>
      <c r="R13" s="10">
        <v>5</v>
      </c>
      <c r="S13" s="10">
        <v>8</v>
      </c>
      <c r="T13" s="10">
        <v>37</v>
      </c>
      <c r="U13" s="10">
        <v>53</v>
      </c>
      <c r="V13" s="10">
        <v>55</v>
      </c>
      <c r="W13" s="10">
        <v>46</v>
      </c>
      <c r="X13" s="10">
        <v>32</v>
      </c>
      <c r="Y13" s="10">
        <v>3</v>
      </c>
      <c r="Z13" s="10">
        <v>0</v>
      </c>
      <c r="AD13" s="11" t="s">
        <v>120</v>
      </c>
      <c r="AE13" s="10">
        <v>47</v>
      </c>
      <c r="AF13" s="10">
        <v>31</v>
      </c>
      <c r="AG13" s="10">
        <v>36</v>
      </c>
      <c r="AH13" s="10">
        <v>53</v>
      </c>
      <c r="AI13" s="10">
        <v>86</v>
      </c>
      <c r="AJ13" s="10">
        <v>81</v>
      </c>
      <c r="AK13" s="10">
        <v>89</v>
      </c>
      <c r="AL13" s="10">
        <v>51</v>
      </c>
      <c r="AM13" s="10">
        <v>26</v>
      </c>
      <c r="AN13" s="10">
        <v>0</v>
      </c>
    </row>
    <row r="18" spans="2:42" ht="29" x14ac:dyDescent="0.35">
      <c r="B18" s="16"/>
      <c r="C18" s="17" t="s">
        <v>160</v>
      </c>
      <c r="D18" s="17" t="s">
        <v>161</v>
      </c>
      <c r="E18" s="17" t="s">
        <v>116</v>
      </c>
      <c r="F18" s="17" t="s">
        <v>162</v>
      </c>
      <c r="G18" s="17" t="s">
        <v>163</v>
      </c>
      <c r="H18" s="17" t="s">
        <v>164</v>
      </c>
      <c r="I18" s="17" t="s">
        <v>165</v>
      </c>
      <c r="J18" s="17" t="s">
        <v>113</v>
      </c>
      <c r="K18" s="17" t="s">
        <v>120</v>
      </c>
      <c r="L18" s="17" t="s">
        <v>166</v>
      </c>
      <c r="M18" s="17" t="s">
        <v>167</v>
      </c>
      <c r="N18" s="17" t="s">
        <v>168</v>
      </c>
      <c r="P18" s="16"/>
      <c r="Q18" s="17" t="s">
        <v>172</v>
      </c>
      <c r="R18" s="17" t="s">
        <v>161</v>
      </c>
      <c r="S18" s="17" t="s">
        <v>116</v>
      </c>
      <c r="T18" s="17" t="s">
        <v>162</v>
      </c>
      <c r="U18" s="17" t="s">
        <v>163</v>
      </c>
      <c r="V18" s="17" t="s">
        <v>164</v>
      </c>
      <c r="W18" s="17" t="s">
        <v>165</v>
      </c>
      <c r="X18" s="17" t="s">
        <v>113</v>
      </c>
      <c r="Y18" s="17" t="s">
        <v>120</v>
      </c>
      <c r="Z18" s="17" t="s">
        <v>166</v>
      </c>
      <c r="AA18" s="17" t="s">
        <v>167</v>
      </c>
      <c r="AB18" s="17" t="s">
        <v>173</v>
      </c>
      <c r="AD18" s="16"/>
      <c r="AE18" s="17" t="s">
        <v>160</v>
      </c>
      <c r="AF18" s="17" t="s">
        <v>161</v>
      </c>
      <c r="AG18" s="17" t="s">
        <v>116</v>
      </c>
      <c r="AH18" s="17" t="s">
        <v>162</v>
      </c>
      <c r="AI18" s="17" t="s">
        <v>163</v>
      </c>
      <c r="AJ18" s="17" t="s">
        <v>164</v>
      </c>
      <c r="AK18" s="17" t="s">
        <v>165</v>
      </c>
      <c r="AL18" s="17" t="s">
        <v>113</v>
      </c>
      <c r="AM18" s="17" t="s">
        <v>120</v>
      </c>
      <c r="AN18" s="17" t="s">
        <v>174</v>
      </c>
      <c r="AO18" s="17" t="s">
        <v>167</v>
      </c>
      <c r="AP18" s="17" t="s">
        <v>168</v>
      </c>
    </row>
    <row r="19" spans="2:42" x14ac:dyDescent="0.35">
      <c r="B19" s="11" t="s">
        <v>160</v>
      </c>
      <c r="C19" s="10">
        <v>0</v>
      </c>
      <c r="D19" s="10">
        <v>96</v>
      </c>
      <c r="E19" s="10">
        <v>92</v>
      </c>
      <c r="F19" s="10">
        <v>85</v>
      </c>
      <c r="G19" s="10">
        <v>81</v>
      </c>
      <c r="H19" s="10">
        <v>77</v>
      </c>
      <c r="I19" s="10">
        <v>65</v>
      </c>
      <c r="J19" s="10">
        <v>58</v>
      </c>
      <c r="K19" s="10">
        <v>42</v>
      </c>
      <c r="L19" s="10">
        <v>40</v>
      </c>
      <c r="M19" s="10">
        <v>31</v>
      </c>
      <c r="N19" s="10">
        <v>35</v>
      </c>
      <c r="P19" s="11" t="s">
        <v>172</v>
      </c>
      <c r="Q19" s="10">
        <v>0</v>
      </c>
      <c r="R19" s="10">
        <v>72</v>
      </c>
      <c r="S19" s="10">
        <v>78</v>
      </c>
      <c r="T19" s="10">
        <v>70</v>
      </c>
      <c r="U19" s="10">
        <v>85</v>
      </c>
      <c r="V19" s="10">
        <v>80</v>
      </c>
      <c r="W19" s="10">
        <v>55</v>
      </c>
      <c r="X19" s="10">
        <v>40</v>
      </c>
      <c r="Y19" s="10">
        <v>28</v>
      </c>
      <c r="Z19" s="10">
        <v>52</v>
      </c>
      <c r="AA19" s="10">
        <v>45</v>
      </c>
      <c r="AB19" s="10">
        <v>50</v>
      </c>
      <c r="AD19" s="11" t="s">
        <v>160</v>
      </c>
      <c r="AE19" s="10">
        <v>0</v>
      </c>
      <c r="AF19" s="10">
        <v>92</v>
      </c>
      <c r="AG19" s="10">
        <v>88</v>
      </c>
      <c r="AH19" s="10">
        <v>95</v>
      </c>
      <c r="AI19" s="10">
        <v>100</v>
      </c>
      <c r="AJ19" s="10">
        <v>90</v>
      </c>
      <c r="AK19" s="10">
        <v>72</v>
      </c>
      <c r="AL19" s="10">
        <v>41</v>
      </c>
      <c r="AM19" s="10">
        <v>33</v>
      </c>
      <c r="AN19" s="10">
        <v>58</v>
      </c>
      <c r="AO19" s="10">
        <v>54</v>
      </c>
      <c r="AP19" s="10">
        <v>61</v>
      </c>
    </row>
    <row r="20" spans="2:42" x14ac:dyDescent="0.35">
      <c r="B20" s="11" t="s">
        <v>161</v>
      </c>
      <c r="C20" s="10">
        <v>96</v>
      </c>
      <c r="D20" s="10">
        <v>0</v>
      </c>
      <c r="E20" s="10">
        <v>89</v>
      </c>
      <c r="F20" s="10">
        <v>83</v>
      </c>
      <c r="G20" s="10">
        <v>78</v>
      </c>
      <c r="H20" s="10">
        <v>75</v>
      </c>
      <c r="I20" s="10">
        <v>60</v>
      </c>
      <c r="J20" s="10">
        <v>63</v>
      </c>
      <c r="K20" s="10">
        <v>38</v>
      </c>
      <c r="L20" s="10">
        <v>51</v>
      </c>
      <c r="M20" s="10">
        <v>33</v>
      </c>
      <c r="N20" s="10">
        <v>29</v>
      </c>
      <c r="P20" s="11" t="s">
        <v>161</v>
      </c>
      <c r="Q20" s="10">
        <v>72</v>
      </c>
      <c r="R20" s="10">
        <v>0</v>
      </c>
      <c r="S20" s="10">
        <v>95</v>
      </c>
      <c r="T20" s="10">
        <v>82</v>
      </c>
      <c r="U20" s="10">
        <v>88</v>
      </c>
      <c r="V20" s="10">
        <v>76</v>
      </c>
      <c r="W20" s="10">
        <v>60</v>
      </c>
      <c r="X20" s="10">
        <v>58</v>
      </c>
      <c r="Y20" s="10">
        <v>42</v>
      </c>
      <c r="Z20" s="10">
        <v>56</v>
      </c>
      <c r="AA20" s="10">
        <v>54</v>
      </c>
      <c r="AB20" s="10">
        <v>48</v>
      </c>
      <c r="AD20" s="11" t="s">
        <v>161</v>
      </c>
      <c r="AE20" s="10">
        <v>92</v>
      </c>
      <c r="AF20" s="10">
        <v>0</v>
      </c>
      <c r="AG20" s="10">
        <v>94</v>
      </c>
      <c r="AH20" s="10">
        <v>89</v>
      </c>
      <c r="AI20" s="10">
        <v>85</v>
      </c>
      <c r="AJ20" s="10">
        <v>73</v>
      </c>
      <c r="AK20" s="10">
        <v>57</v>
      </c>
      <c r="AL20" s="10">
        <v>68</v>
      </c>
      <c r="AM20" s="10">
        <v>49</v>
      </c>
      <c r="AN20" s="10">
        <v>76</v>
      </c>
      <c r="AO20" s="10">
        <v>46</v>
      </c>
      <c r="AP20" s="10">
        <v>38</v>
      </c>
    </row>
    <row r="21" spans="2:42" x14ac:dyDescent="0.35">
      <c r="B21" s="11" t="s">
        <v>116</v>
      </c>
      <c r="C21" s="10">
        <v>92</v>
      </c>
      <c r="D21" s="10">
        <v>89</v>
      </c>
      <c r="E21" s="10">
        <v>0</v>
      </c>
      <c r="F21" s="10">
        <v>80</v>
      </c>
      <c r="G21" s="10">
        <v>87</v>
      </c>
      <c r="H21" s="10">
        <v>79</v>
      </c>
      <c r="I21" s="10">
        <v>69</v>
      </c>
      <c r="J21" s="10">
        <v>61</v>
      </c>
      <c r="K21" s="10">
        <v>65</v>
      </c>
      <c r="L21" s="10">
        <v>42</v>
      </c>
      <c r="M21" s="10">
        <v>36</v>
      </c>
      <c r="N21" s="10">
        <v>44</v>
      </c>
      <c r="P21" s="11" t="s">
        <v>116</v>
      </c>
      <c r="Q21" s="10">
        <v>78</v>
      </c>
      <c r="R21" s="10">
        <v>95</v>
      </c>
      <c r="S21" s="10">
        <v>0</v>
      </c>
      <c r="T21" s="10">
        <v>84</v>
      </c>
      <c r="U21" s="10">
        <v>90</v>
      </c>
      <c r="V21" s="10">
        <v>82</v>
      </c>
      <c r="W21" s="10">
        <v>65</v>
      </c>
      <c r="X21" s="10">
        <v>62</v>
      </c>
      <c r="Y21" s="10">
        <v>50</v>
      </c>
      <c r="Z21" s="10">
        <v>48</v>
      </c>
      <c r="AA21" s="10">
        <v>58</v>
      </c>
      <c r="AB21" s="10">
        <v>57</v>
      </c>
      <c r="AD21" s="11" t="s">
        <v>116</v>
      </c>
      <c r="AE21" s="10">
        <v>88</v>
      </c>
      <c r="AF21" s="10">
        <v>94</v>
      </c>
      <c r="AG21" s="10">
        <v>0</v>
      </c>
      <c r="AH21" s="10">
        <v>91</v>
      </c>
      <c r="AI21" s="10">
        <v>87</v>
      </c>
      <c r="AJ21" s="10">
        <v>79</v>
      </c>
      <c r="AK21" s="10">
        <v>63</v>
      </c>
      <c r="AL21" s="10">
        <v>52</v>
      </c>
      <c r="AM21" s="10">
        <v>44</v>
      </c>
      <c r="AN21" s="10">
        <v>71</v>
      </c>
      <c r="AO21" s="10">
        <v>42</v>
      </c>
      <c r="AP21" s="10">
        <v>35</v>
      </c>
    </row>
    <row r="22" spans="2:42" x14ac:dyDescent="0.35">
      <c r="B22" s="11" t="s">
        <v>162</v>
      </c>
      <c r="C22" s="10">
        <v>85</v>
      </c>
      <c r="D22" s="10">
        <v>83</v>
      </c>
      <c r="E22" s="10">
        <v>80</v>
      </c>
      <c r="F22" s="10">
        <v>0</v>
      </c>
      <c r="G22" s="10">
        <v>74</v>
      </c>
      <c r="H22" s="10">
        <v>72</v>
      </c>
      <c r="I22" s="10">
        <v>62</v>
      </c>
      <c r="J22" s="10">
        <v>56</v>
      </c>
      <c r="K22" s="10">
        <v>40</v>
      </c>
      <c r="L22" s="10">
        <v>38</v>
      </c>
      <c r="M22" s="10">
        <v>24</v>
      </c>
      <c r="N22" s="10">
        <v>31</v>
      </c>
      <c r="P22" s="11" t="s">
        <v>162</v>
      </c>
      <c r="Q22" s="10">
        <v>70</v>
      </c>
      <c r="R22" s="10">
        <v>82</v>
      </c>
      <c r="S22" s="10">
        <v>84</v>
      </c>
      <c r="T22" s="10">
        <v>0</v>
      </c>
      <c r="U22" s="10">
        <v>86</v>
      </c>
      <c r="V22" s="10">
        <v>74</v>
      </c>
      <c r="W22" s="10">
        <v>53</v>
      </c>
      <c r="X22" s="10">
        <v>64</v>
      </c>
      <c r="Y22" s="10">
        <v>46</v>
      </c>
      <c r="Z22" s="10">
        <v>44</v>
      </c>
      <c r="AA22" s="10">
        <v>43</v>
      </c>
      <c r="AB22" s="10">
        <v>41</v>
      </c>
      <c r="AD22" s="11" t="s">
        <v>162</v>
      </c>
      <c r="AE22" s="10">
        <v>95</v>
      </c>
      <c r="AF22" s="10">
        <v>89</v>
      </c>
      <c r="AG22" s="10">
        <v>91</v>
      </c>
      <c r="AH22" s="10">
        <v>0</v>
      </c>
      <c r="AI22" s="10">
        <v>96</v>
      </c>
      <c r="AJ22" s="10">
        <v>84</v>
      </c>
      <c r="AK22" s="10">
        <v>66</v>
      </c>
      <c r="AL22" s="10">
        <v>61</v>
      </c>
      <c r="AM22" s="10">
        <v>47</v>
      </c>
      <c r="AN22" s="10">
        <v>74</v>
      </c>
      <c r="AO22" s="10">
        <v>45</v>
      </c>
      <c r="AP22" s="10">
        <v>39</v>
      </c>
    </row>
    <row r="23" spans="2:42" x14ac:dyDescent="0.35">
      <c r="B23" s="11" t="s">
        <v>163</v>
      </c>
      <c r="C23" s="10">
        <v>81</v>
      </c>
      <c r="D23" s="10">
        <v>78</v>
      </c>
      <c r="E23" s="10">
        <v>87</v>
      </c>
      <c r="F23" s="10">
        <v>74</v>
      </c>
      <c r="G23" s="10">
        <v>0</v>
      </c>
      <c r="H23" s="10">
        <v>83</v>
      </c>
      <c r="I23" s="10">
        <v>71</v>
      </c>
      <c r="J23" s="10">
        <v>53</v>
      </c>
      <c r="K23" s="10">
        <v>49</v>
      </c>
      <c r="L23" s="10">
        <v>35</v>
      </c>
      <c r="M23" s="10">
        <v>47</v>
      </c>
      <c r="N23" s="10">
        <v>56</v>
      </c>
      <c r="P23" s="11" t="s">
        <v>163</v>
      </c>
      <c r="Q23" s="10">
        <v>85</v>
      </c>
      <c r="R23" s="10">
        <v>88</v>
      </c>
      <c r="S23" s="10">
        <v>90</v>
      </c>
      <c r="T23" s="10">
        <v>86</v>
      </c>
      <c r="U23" s="10">
        <v>0</v>
      </c>
      <c r="V23" s="10">
        <v>92</v>
      </c>
      <c r="W23" s="10">
        <v>68</v>
      </c>
      <c r="X23" s="10">
        <v>54</v>
      </c>
      <c r="Y23" s="10">
        <v>38</v>
      </c>
      <c r="Z23" s="10">
        <v>47</v>
      </c>
      <c r="AA23" s="10">
        <v>75</v>
      </c>
      <c r="AB23" s="10">
        <v>66</v>
      </c>
      <c r="AD23" s="11" t="s">
        <v>163</v>
      </c>
      <c r="AE23" s="10">
        <v>100</v>
      </c>
      <c r="AF23" s="10">
        <v>85</v>
      </c>
      <c r="AG23" s="10">
        <v>87</v>
      </c>
      <c r="AH23" s="10">
        <v>96</v>
      </c>
      <c r="AI23" s="10">
        <v>0</v>
      </c>
      <c r="AJ23" s="10">
        <v>93</v>
      </c>
      <c r="AK23" s="10">
        <v>70</v>
      </c>
      <c r="AL23" s="10">
        <v>43</v>
      </c>
      <c r="AM23" s="10">
        <v>31</v>
      </c>
      <c r="AN23" s="10">
        <v>56</v>
      </c>
      <c r="AO23" s="10">
        <v>51</v>
      </c>
      <c r="AP23" s="10">
        <v>59</v>
      </c>
    </row>
    <row r="24" spans="2:42" x14ac:dyDescent="0.35">
      <c r="B24" s="11" t="s">
        <v>164</v>
      </c>
      <c r="C24" s="10">
        <v>77</v>
      </c>
      <c r="D24" s="10">
        <v>75</v>
      </c>
      <c r="E24" s="10">
        <v>79</v>
      </c>
      <c r="F24" s="10">
        <v>72</v>
      </c>
      <c r="G24" s="10">
        <v>83</v>
      </c>
      <c r="H24" s="10">
        <v>0</v>
      </c>
      <c r="I24" s="10">
        <v>67</v>
      </c>
      <c r="J24" s="10">
        <v>49</v>
      </c>
      <c r="K24" s="10">
        <v>44</v>
      </c>
      <c r="L24" s="10">
        <v>33</v>
      </c>
      <c r="M24" s="10">
        <v>40</v>
      </c>
      <c r="N24" s="10">
        <v>51</v>
      </c>
      <c r="P24" s="11" t="s">
        <v>164</v>
      </c>
      <c r="Q24" s="10">
        <v>80</v>
      </c>
      <c r="R24" s="10">
        <v>76</v>
      </c>
      <c r="S24" s="10">
        <v>82</v>
      </c>
      <c r="T24" s="10">
        <v>74</v>
      </c>
      <c r="U24" s="10">
        <v>92</v>
      </c>
      <c r="V24" s="10">
        <v>0</v>
      </c>
      <c r="W24" s="10">
        <v>71</v>
      </c>
      <c r="X24" s="10">
        <v>36</v>
      </c>
      <c r="Y24" s="10">
        <v>34</v>
      </c>
      <c r="Z24" s="10">
        <v>39</v>
      </c>
      <c r="AA24" s="10">
        <v>67</v>
      </c>
      <c r="AB24" s="10">
        <v>69</v>
      </c>
      <c r="AD24" s="11" t="s">
        <v>164</v>
      </c>
      <c r="AE24" s="10">
        <v>90</v>
      </c>
      <c r="AF24" s="10">
        <v>73</v>
      </c>
      <c r="AG24" s="10">
        <v>79</v>
      </c>
      <c r="AH24" s="10">
        <v>84</v>
      </c>
      <c r="AI24" s="10">
        <v>93</v>
      </c>
      <c r="AJ24" s="10">
        <v>0</v>
      </c>
      <c r="AK24" s="10">
        <v>65</v>
      </c>
      <c r="AL24" s="10">
        <v>36</v>
      </c>
      <c r="AM24" s="10">
        <v>28</v>
      </c>
      <c r="AN24" s="10">
        <v>48</v>
      </c>
      <c r="AO24" s="10">
        <v>40</v>
      </c>
      <c r="AP24" s="10">
        <v>67</v>
      </c>
    </row>
    <row r="25" spans="2:42" x14ac:dyDescent="0.35">
      <c r="B25" s="11" t="s">
        <v>165</v>
      </c>
      <c r="C25" s="10">
        <v>65</v>
      </c>
      <c r="D25" s="10">
        <v>60</v>
      </c>
      <c r="E25" s="10">
        <v>69</v>
      </c>
      <c r="F25" s="10">
        <v>62</v>
      </c>
      <c r="G25" s="10">
        <v>71</v>
      </c>
      <c r="H25" s="10">
        <v>67</v>
      </c>
      <c r="I25" s="10">
        <v>0</v>
      </c>
      <c r="J25" s="10">
        <v>44</v>
      </c>
      <c r="K25" s="10">
        <v>47</v>
      </c>
      <c r="L25" s="10">
        <v>27</v>
      </c>
      <c r="M25" s="10">
        <v>35</v>
      </c>
      <c r="N25" s="10">
        <v>49</v>
      </c>
      <c r="P25" s="11" t="s">
        <v>165</v>
      </c>
      <c r="Q25" s="10">
        <v>55</v>
      </c>
      <c r="R25" s="10">
        <v>60</v>
      </c>
      <c r="S25" s="10">
        <v>65</v>
      </c>
      <c r="T25" s="10">
        <v>53</v>
      </c>
      <c r="U25" s="10">
        <v>68</v>
      </c>
      <c r="V25" s="10">
        <v>71</v>
      </c>
      <c r="W25" s="10">
        <v>0</v>
      </c>
      <c r="X25" s="10">
        <v>25</v>
      </c>
      <c r="Y25" s="10">
        <v>30</v>
      </c>
      <c r="Z25" s="10">
        <v>22</v>
      </c>
      <c r="AA25" s="10">
        <v>49</v>
      </c>
      <c r="AB25" s="10">
        <v>63</v>
      </c>
      <c r="AD25" s="11" t="s">
        <v>165</v>
      </c>
      <c r="AE25" s="10">
        <v>72</v>
      </c>
      <c r="AF25" s="10">
        <v>57</v>
      </c>
      <c r="AG25" s="10">
        <v>63</v>
      </c>
      <c r="AH25" s="10">
        <v>66</v>
      </c>
      <c r="AI25" s="10">
        <v>70</v>
      </c>
      <c r="AJ25" s="10">
        <v>65</v>
      </c>
      <c r="AK25" s="10">
        <v>0</v>
      </c>
      <c r="AL25" s="10">
        <v>22</v>
      </c>
      <c r="AM25" s="10">
        <v>19</v>
      </c>
      <c r="AN25" s="10">
        <v>34</v>
      </c>
      <c r="AO25" s="10">
        <v>27</v>
      </c>
      <c r="AP25" s="10">
        <v>53</v>
      </c>
    </row>
    <row r="26" spans="2:42" x14ac:dyDescent="0.35">
      <c r="B26" s="11" t="s">
        <v>113</v>
      </c>
      <c r="C26" s="10">
        <v>58</v>
      </c>
      <c r="D26" s="10">
        <v>63</v>
      </c>
      <c r="E26" s="10">
        <v>61</v>
      </c>
      <c r="F26" s="10">
        <v>56</v>
      </c>
      <c r="G26" s="10">
        <v>53</v>
      </c>
      <c r="H26" s="10">
        <v>49</v>
      </c>
      <c r="I26" s="10">
        <v>44</v>
      </c>
      <c r="J26" s="10">
        <v>0</v>
      </c>
      <c r="K26" s="10">
        <v>51</v>
      </c>
      <c r="L26" s="10">
        <v>47</v>
      </c>
      <c r="M26" s="10">
        <v>18</v>
      </c>
      <c r="N26" s="10">
        <v>22</v>
      </c>
      <c r="P26" s="11" t="s">
        <v>113</v>
      </c>
      <c r="Q26" s="10">
        <v>40</v>
      </c>
      <c r="R26" s="10">
        <v>58</v>
      </c>
      <c r="S26" s="10">
        <v>62</v>
      </c>
      <c r="T26" s="10">
        <v>64</v>
      </c>
      <c r="U26" s="10">
        <v>54</v>
      </c>
      <c r="V26" s="10">
        <v>36</v>
      </c>
      <c r="W26" s="10">
        <v>25</v>
      </c>
      <c r="X26" s="10">
        <v>0</v>
      </c>
      <c r="Y26" s="10">
        <v>26</v>
      </c>
      <c r="Z26" s="10">
        <v>32</v>
      </c>
      <c r="AA26" s="10">
        <v>18</v>
      </c>
      <c r="AB26" s="10">
        <v>20</v>
      </c>
      <c r="AD26" s="11" t="s">
        <v>113</v>
      </c>
      <c r="AE26" s="10">
        <v>41</v>
      </c>
      <c r="AF26" s="10">
        <v>68</v>
      </c>
      <c r="AG26" s="10">
        <v>52</v>
      </c>
      <c r="AH26" s="10">
        <v>61</v>
      </c>
      <c r="AI26" s="10">
        <v>43</v>
      </c>
      <c r="AJ26" s="10">
        <v>36</v>
      </c>
      <c r="AK26" s="10">
        <v>22</v>
      </c>
      <c r="AL26" s="10">
        <v>0</v>
      </c>
      <c r="AM26" s="10">
        <v>17</v>
      </c>
      <c r="AN26" s="10">
        <v>45</v>
      </c>
      <c r="AO26" s="10">
        <v>12</v>
      </c>
      <c r="AP26" s="10">
        <v>24</v>
      </c>
    </row>
    <row r="27" spans="2:42" x14ac:dyDescent="0.35">
      <c r="B27" s="11" t="s">
        <v>120</v>
      </c>
      <c r="C27" s="10">
        <v>42</v>
      </c>
      <c r="D27" s="10">
        <v>38</v>
      </c>
      <c r="E27" s="10">
        <v>65</v>
      </c>
      <c r="F27" s="10">
        <v>40</v>
      </c>
      <c r="G27" s="10">
        <v>49</v>
      </c>
      <c r="H27" s="10">
        <v>44</v>
      </c>
      <c r="I27" s="10">
        <v>47</v>
      </c>
      <c r="J27" s="10">
        <v>51</v>
      </c>
      <c r="K27" s="10">
        <v>0</v>
      </c>
      <c r="L27" s="10">
        <v>31</v>
      </c>
      <c r="M27" s="10">
        <v>15</v>
      </c>
      <c r="N27" s="10">
        <v>27</v>
      </c>
      <c r="P27" s="11" t="s">
        <v>120</v>
      </c>
      <c r="Q27" s="10">
        <v>28</v>
      </c>
      <c r="R27" s="10">
        <v>42</v>
      </c>
      <c r="S27" s="10">
        <v>50</v>
      </c>
      <c r="T27" s="10">
        <v>46</v>
      </c>
      <c r="U27" s="10">
        <v>38</v>
      </c>
      <c r="V27" s="10">
        <v>34</v>
      </c>
      <c r="W27" s="10">
        <v>30</v>
      </c>
      <c r="X27" s="10">
        <v>26</v>
      </c>
      <c r="Y27" s="10">
        <v>0</v>
      </c>
      <c r="Z27" s="10">
        <v>15</v>
      </c>
      <c r="AA27" s="10">
        <v>12</v>
      </c>
      <c r="AB27" s="10">
        <v>16</v>
      </c>
      <c r="AD27" s="11" t="s">
        <v>120</v>
      </c>
      <c r="AE27" s="10">
        <v>33</v>
      </c>
      <c r="AF27" s="10">
        <v>49</v>
      </c>
      <c r="AG27" s="10">
        <v>44</v>
      </c>
      <c r="AH27" s="10">
        <v>47</v>
      </c>
      <c r="AI27" s="10">
        <v>31</v>
      </c>
      <c r="AJ27" s="10">
        <v>28</v>
      </c>
      <c r="AK27" s="10">
        <v>19</v>
      </c>
      <c r="AL27" s="10">
        <v>17</v>
      </c>
      <c r="AM27" s="10">
        <v>0</v>
      </c>
      <c r="AN27" s="10">
        <v>29</v>
      </c>
      <c r="AO27" s="10">
        <v>9</v>
      </c>
      <c r="AP27" s="10">
        <v>21</v>
      </c>
    </row>
    <row r="28" spans="2:42" x14ac:dyDescent="0.35">
      <c r="B28" s="11" t="s">
        <v>166</v>
      </c>
      <c r="C28" s="10">
        <v>40</v>
      </c>
      <c r="D28" s="10">
        <v>51</v>
      </c>
      <c r="E28" s="10">
        <v>42</v>
      </c>
      <c r="F28" s="10">
        <v>38</v>
      </c>
      <c r="G28" s="10">
        <v>35</v>
      </c>
      <c r="H28" s="10">
        <v>33</v>
      </c>
      <c r="I28" s="10">
        <v>27</v>
      </c>
      <c r="J28" s="10">
        <v>47</v>
      </c>
      <c r="K28" s="10">
        <v>31</v>
      </c>
      <c r="L28" s="10">
        <v>0</v>
      </c>
      <c r="M28" s="10">
        <v>13</v>
      </c>
      <c r="N28" s="10">
        <v>11</v>
      </c>
      <c r="P28" s="11" t="s">
        <v>166</v>
      </c>
      <c r="Q28" s="10">
        <v>52</v>
      </c>
      <c r="R28" s="10">
        <v>56</v>
      </c>
      <c r="S28" s="10">
        <v>48</v>
      </c>
      <c r="T28" s="10">
        <v>44</v>
      </c>
      <c r="U28" s="10">
        <v>47</v>
      </c>
      <c r="V28" s="10">
        <v>39</v>
      </c>
      <c r="W28" s="10">
        <v>22</v>
      </c>
      <c r="X28" s="10">
        <v>32</v>
      </c>
      <c r="Y28" s="10">
        <v>15</v>
      </c>
      <c r="Z28" s="10">
        <v>0</v>
      </c>
      <c r="AA28" s="10">
        <v>14</v>
      </c>
      <c r="AB28" s="10">
        <v>10</v>
      </c>
      <c r="AD28" s="11" t="s">
        <v>174</v>
      </c>
      <c r="AE28" s="10">
        <v>58</v>
      </c>
      <c r="AF28" s="10">
        <v>76</v>
      </c>
      <c r="AG28" s="10">
        <v>71</v>
      </c>
      <c r="AH28" s="10">
        <v>74</v>
      </c>
      <c r="AI28" s="10">
        <v>56</v>
      </c>
      <c r="AJ28" s="10">
        <v>48</v>
      </c>
      <c r="AK28" s="10">
        <v>34</v>
      </c>
      <c r="AL28" s="10">
        <v>45</v>
      </c>
      <c r="AM28" s="10">
        <v>29</v>
      </c>
      <c r="AN28" s="10">
        <v>0</v>
      </c>
      <c r="AO28" s="10">
        <v>26</v>
      </c>
      <c r="AP28" s="10">
        <v>32</v>
      </c>
    </row>
    <row r="29" spans="2:42" x14ac:dyDescent="0.35">
      <c r="B29" s="11" t="s">
        <v>167</v>
      </c>
      <c r="C29" s="10">
        <v>31</v>
      </c>
      <c r="D29" s="10">
        <v>33</v>
      </c>
      <c r="E29" s="10">
        <v>36</v>
      </c>
      <c r="F29" s="10">
        <v>24</v>
      </c>
      <c r="G29" s="10">
        <v>47</v>
      </c>
      <c r="H29" s="10">
        <v>40</v>
      </c>
      <c r="I29" s="10">
        <v>35</v>
      </c>
      <c r="J29" s="10">
        <v>18</v>
      </c>
      <c r="K29" s="10">
        <v>15</v>
      </c>
      <c r="L29" s="10">
        <v>13</v>
      </c>
      <c r="M29" s="10">
        <v>0</v>
      </c>
      <c r="N29" s="10">
        <v>42</v>
      </c>
      <c r="P29" s="11" t="s">
        <v>167</v>
      </c>
      <c r="Q29" s="10">
        <v>45</v>
      </c>
      <c r="R29" s="10">
        <v>54</v>
      </c>
      <c r="S29" s="10">
        <v>58</v>
      </c>
      <c r="T29" s="10">
        <v>43</v>
      </c>
      <c r="U29" s="10">
        <v>75</v>
      </c>
      <c r="V29" s="10">
        <v>67</v>
      </c>
      <c r="W29" s="10">
        <v>49</v>
      </c>
      <c r="X29" s="10">
        <v>18</v>
      </c>
      <c r="Y29" s="10">
        <v>12</v>
      </c>
      <c r="Z29" s="10">
        <v>14</v>
      </c>
      <c r="AA29" s="10">
        <v>0</v>
      </c>
      <c r="AB29" s="10">
        <v>24</v>
      </c>
      <c r="AD29" s="11" t="s">
        <v>167</v>
      </c>
      <c r="AE29" s="10">
        <v>54</v>
      </c>
      <c r="AF29" s="10">
        <v>46</v>
      </c>
      <c r="AG29" s="10">
        <v>42</v>
      </c>
      <c r="AH29" s="10">
        <v>45</v>
      </c>
      <c r="AI29" s="10">
        <v>51</v>
      </c>
      <c r="AJ29" s="10">
        <v>40</v>
      </c>
      <c r="AK29" s="10">
        <v>27</v>
      </c>
      <c r="AL29" s="10">
        <v>12</v>
      </c>
      <c r="AM29" s="10">
        <v>9</v>
      </c>
      <c r="AN29" s="10">
        <v>26</v>
      </c>
      <c r="AO29" s="10">
        <v>0</v>
      </c>
      <c r="AP29" s="10">
        <v>30</v>
      </c>
    </row>
    <row r="30" spans="2:42" x14ac:dyDescent="0.35">
      <c r="B30" s="11" t="s">
        <v>168</v>
      </c>
      <c r="C30" s="10">
        <v>35</v>
      </c>
      <c r="D30" s="10">
        <v>29</v>
      </c>
      <c r="E30" s="10">
        <v>44</v>
      </c>
      <c r="F30" s="10">
        <v>31</v>
      </c>
      <c r="G30" s="10">
        <v>56</v>
      </c>
      <c r="H30" s="10">
        <v>51</v>
      </c>
      <c r="I30" s="10">
        <v>49</v>
      </c>
      <c r="J30" s="10">
        <v>22</v>
      </c>
      <c r="K30" s="10">
        <v>27</v>
      </c>
      <c r="L30" s="10">
        <v>11</v>
      </c>
      <c r="M30" s="10">
        <v>42</v>
      </c>
      <c r="N30" s="10">
        <v>0</v>
      </c>
      <c r="P30" s="11" t="s">
        <v>168</v>
      </c>
      <c r="Q30" s="10">
        <v>50</v>
      </c>
      <c r="R30" s="10">
        <v>48</v>
      </c>
      <c r="S30" s="10">
        <v>57</v>
      </c>
      <c r="T30" s="10">
        <v>41</v>
      </c>
      <c r="U30" s="10">
        <v>66</v>
      </c>
      <c r="V30" s="10">
        <v>69</v>
      </c>
      <c r="W30" s="10">
        <v>63</v>
      </c>
      <c r="X30" s="10">
        <v>20</v>
      </c>
      <c r="Y30" s="10">
        <v>16</v>
      </c>
      <c r="Z30" s="10">
        <v>10</v>
      </c>
      <c r="AA30" s="10">
        <v>24</v>
      </c>
      <c r="AB30" s="10">
        <v>0</v>
      </c>
      <c r="AD30" s="11" t="s">
        <v>168</v>
      </c>
      <c r="AE30" s="10">
        <v>61</v>
      </c>
      <c r="AF30" s="10">
        <v>38</v>
      </c>
      <c r="AG30" s="10">
        <v>35</v>
      </c>
      <c r="AH30" s="10">
        <v>39</v>
      </c>
      <c r="AI30" s="10">
        <v>59</v>
      </c>
      <c r="AJ30" s="10">
        <v>67</v>
      </c>
      <c r="AK30" s="10">
        <v>53</v>
      </c>
      <c r="AL30" s="10">
        <v>24</v>
      </c>
      <c r="AM30" s="10">
        <v>21</v>
      </c>
      <c r="AN30" s="10">
        <v>32</v>
      </c>
      <c r="AO30" s="10">
        <v>30</v>
      </c>
      <c r="AP30" s="10">
        <v>0</v>
      </c>
    </row>
  </sheetData>
  <conditionalFormatting sqref="C4:L13">
    <cfRule type="colorScale" priority="6">
      <colorScale>
        <cfvo type="min"/>
        <cfvo type="max"/>
        <color rgb="FFFCFCFF"/>
        <color rgb="FF63BE7B"/>
      </colorScale>
    </cfRule>
  </conditionalFormatting>
  <conditionalFormatting sqref="C19:N30">
    <cfRule type="colorScale" priority="5">
      <colorScale>
        <cfvo type="min"/>
        <cfvo type="max"/>
        <color rgb="FFFCFCFF"/>
        <color rgb="FF63BE7B"/>
      </colorScale>
    </cfRule>
  </conditionalFormatting>
  <conditionalFormatting sqref="Q4:Z13">
    <cfRule type="colorScale" priority="4">
      <colorScale>
        <cfvo type="min"/>
        <cfvo type="max"/>
        <color rgb="FFFCFCFF"/>
        <color rgb="FF63BE7B"/>
      </colorScale>
    </cfRule>
  </conditionalFormatting>
  <conditionalFormatting sqref="Q19:AB30">
    <cfRule type="colorScale" priority="3">
      <colorScale>
        <cfvo type="min"/>
        <cfvo type="max"/>
        <color rgb="FFFCFCFF"/>
        <color rgb="FF63BE7B"/>
      </colorScale>
    </cfRule>
  </conditionalFormatting>
  <conditionalFormatting sqref="AE4:AN13">
    <cfRule type="colorScale" priority="2">
      <colorScale>
        <cfvo type="min"/>
        <cfvo type="max"/>
        <color rgb="FFFCFCFF"/>
        <color rgb="FF63BE7B"/>
      </colorScale>
    </cfRule>
  </conditionalFormatting>
  <conditionalFormatting sqref="AE19:AP30">
    <cfRule type="colorScale" priority="1">
      <colorScale>
        <cfvo type="min"/>
        <cfvo type="max"/>
        <color rgb="FFFCFCFF"/>
        <color rgb="FF63BE7B"/>
      </colorScale>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410FB3-3D8B-4DC0-8456-5DE07D37318C}">
  <dimension ref="A1:R69"/>
  <sheetViews>
    <sheetView workbookViewId="0">
      <selection activeCell="C4" sqref="C4"/>
    </sheetView>
  </sheetViews>
  <sheetFormatPr defaultRowHeight="14.5" x14ac:dyDescent="0.35"/>
  <cols>
    <col min="1" max="1" width="9.7265625" bestFit="1" customWidth="1"/>
    <col min="2" max="2" width="19.453125" bestFit="1" customWidth="1"/>
    <col min="3" max="3" width="12.90625" bestFit="1" customWidth="1"/>
    <col min="5" max="5" width="15.54296875" bestFit="1" customWidth="1"/>
    <col min="6" max="6" width="9" bestFit="1" customWidth="1"/>
    <col min="8" max="8" width="21.36328125" bestFit="1" customWidth="1"/>
    <col min="9" max="9" width="14.7265625" bestFit="1" customWidth="1"/>
    <col min="11" max="11" width="15.90625" bestFit="1" customWidth="1"/>
    <col min="12" max="12" width="9.36328125" bestFit="1" customWidth="1"/>
    <col min="14" max="14" width="22.36328125" bestFit="1" customWidth="1"/>
    <col min="15" max="15" width="15.7265625" bestFit="1" customWidth="1"/>
    <col min="17" max="17" width="27.54296875" bestFit="1" customWidth="1"/>
    <col min="18" max="18" width="20.90625" bestFit="1" customWidth="1"/>
    <col min="20" max="20" width="27.54296875" bestFit="1" customWidth="1"/>
    <col min="21" max="21" width="20.90625" bestFit="1" customWidth="1"/>
    <col min="23" max="23" width="24.08984375" bestFit="1" customWidth="1"/>
    <col min="24" max="24" width="17.54296875" bestFit="1" customWidth="1"/>
    <col min="26" max="26" width="19.81640625" bestFit="1" customWidth="1"/>
    <col min="27" max="27" width="13.26953125" bestFit="1" customWidth="1"/>
    <col min="29" max="29" width="21.36328125" bestFit="1" customWidth="1"/>
    <col min="30" max="30" width="14.7265625" bestFit="1" customWidth="1"/>
  </cols>
  <sheetData>
    <row r="1" spans="1:18" x14ac:dyDescent="0.35">
      <c r="A1" t="s">
        <v>123</v>
      </c>
      <c r="B1" t="s">
        <v>122</v>
      </c>
      <c r="C1" t="s">
        <v>124</v>
      </c>
      <c r="E1" t="s">
        <v>134</v>
      </c>
      <c r="F1" t="s">
        <v>135</v>
      </c>
      <c r="H1" t="s">
        <v>126</v>
      </c>
      <c r="I1" t="s">
        <v>127</v>
      </c>
      <c r="K1" t="s">
        <v>132</v>
      </c>
      <c r="L1" t="s">
        <v>133</v>
      </c>
      <c r="N1" t="s">
        <v>130</v>
      </c>
      <c r="O1" t="s">
        <v>131</v>
      </c>
      <c r="Q1" t="s">
        <v>128</v>
      </c>
      <c r="R1" t="s">
        <v>129</v>
      </c>
    </row>
    <row r="2" spans="1:18" x14ac:dyDescent="0.35">
      <c r="A2" s="13">
        <v>44347</v>
      </c>
      <c r="B2">
        <v>10800</v>
      </c>
      <c r="C2">
        <v>22200</v>
      </c>
      <c r="E2">
        <v>27100</v>
      </c>
      <c r="F2">
        <v>2810</v>
      </c>
      <c r="H2">
        <v>33100</v>
      </c>
    </row>
    <row r="3" spans="1:18" x14ac:dyDescent="0.35">
      <c r="A3" s="13">
        <v>44377</v>
      </c>
      <c r="B3">
        <v>11200</v>
      </c>
      <c r="C3">
        <v>24600</v>
      </c>
      <c r="E3">
        <v>22200</v>
      </c>
      <c r="F3">
        <v>2950</v>
      </c>
      <c r="G3" s="12"/>
      <c r="H3">
        <v>31200</v>
      </c>
      <c r="J3" s="13"/>
    </row>
    <row r="4" spans="1:18" x14ac:dyDescent="0.35">
      <c r="A4" s="13">
        <v>44408</v>
      </c>
      <c r="B4">
        <v>11400</v>
      </c>
      <c r="C4">
        <v>22200</v>
      </c>
      <c r="D4" s="12"/>
      <c r="E4">
        <v>18100</v>
      </c>
      <c r="F4">
        <v>3100</v>
      </c>
      <c r="G4" s="14"/>
      <c r="H4">
        <v>32500</v>
      </c>
      <c r="J4" s="13"/>
      <c r="M4" s="13"/>
    </row>
    <row r="5" spans="1:18" x14ac:dyDescent="0.35">
      <c r="A5" s="13">
        <v>44439</v>
      </c>
      <c r="B5">
        <v>10900</v>
      </c>
      <c r="C5">
        <v>18100</v>
      </c>
      <c r="D5" s="14"/>
      <c r="E5">
        <v>20100</v>
      </c>
      <c r="F5">
        <v>3320</v>
      </c>
      <c r="G5" s="14"/>
      <c r="H5">
        <v>30800</v>
      </c>
      <c r="J5" s="13"/>
      <c r="M5" s="13"/>
    </row>
    <row r="6" spans="1:18" x14ac:dyDescent="0.35">
      <c r="A6" s="13">
        <v>44469</v>
      </c>
      <c r="B6">
        <v>10700</v>
      </c>
      <c r="C6">
        <v>22200</v>
      </c>
      <c r="D6" s="14"/>
      <c r="E6">
        <v>18100</v>
      </c>
      <c r="F6">
        <v>3080</v>
      </c>
      <c r="G6" s="14"/>
      <c r="H6">
        <v>29400</v>
      </c>
      <c r="J6" s="13"/>
      <c r="M6" s="13"/>
    </row>
    <row r="7" spans="1:18" x14ac:dyDescent="0.35">
      <c r="A7" s="13">
        <v>44500</v>
      </c>
      <c r="B7">
        <v>11100</v>
      </c>
      <c r="C7">
        <v>18100</v>
      </c>
      <c r="D7" s="14"/>
      <c r="E7">
        <v>14800</v>
      </c>
      <c r="F7">
        <v>4200</v>
      </c>
      <c r="G7" s="14"/>
      <c r="H7">
        <v>28700</v>
      </c>
      <c r="J7" s="13"/>
      <c r="M7" s="13"/>
    </row>
    <row r="8" spans="1:18" x14ac:dyDescent="0.35">
      <c r="A8" s="13">
        <v>44530</v>
      </c>
      <c r="B8">
        <v>11500</v>
      </c>
      <c r="C8">
        <v>14800</v>
      </c>
      <c r="D8" s="14"/>
      <c r="E8">
        <v>14800</v>
      </c>
      <c r="F8">
        <v>4150</v>
      </c>
      <c r="G8" s="14"/>
      <c r="H8">
        <v>30100</v>
      </c>
      <c r="J8" s="13"/>
      <c r="M8" s="13"/>
    </row>
    <row r="9" spans="1:18" x14ac:dyDescent="0.35">
      <c r="A9" s="13">
        <v>44561</v>
      </c>
      <c r="B9">
        <v>12200</v>
      </c>
      <c r="C9">
        <v>18100</v>
      </c>
      <c r="D9" s="14"/>
      <c r="E9">
        <v>14800</v>
      </c>
      <c r="F9">
        <v>4670</v>
      </c>
      <c r="G9" s="14"/>
      <c r="H9">
        <v>31600</v>
      </c>
      <c r="J9" s="13"/>
      <c r="M9" s="13"/>
    </row>
    <row r="10" spans="1:18" x14ac:dyDescent="0.35">
      <c r="A10" s="13">
        <v>44592</v>
      </c>
      <c r="B10">
        <v>14800</v>
      </c>
      <c r="C10">
        <v>18100</v>
      </c>
      <c r="D10" s="14"/>
      <c r="E10">
        <v>14800</v>
      </c>
      <c r="F10">
        <v>5100</v>
      </c>
      <c r="G10" s="14"/>
      <c r="H10">
        <v>34200</v>
      </c>
      <c r="J10" s="13"/>
      <c r="M10" s="13"/>
    </row>
    <row r="11" spans="1:18" x14ac:dyDescent="0.35">
      <c r="A11" s="13">
        <v>44620</v>
      </c>
      <c r="B11">
        <v>13900</v>
      </c>
      <c r="C11">
        <v>14800</v>
      </c>
      <c r="D11" s="14"/>
      <c r="E11">
        <v>18100</v>
      </c>
      <c r="F11">
        <v>4890</v>
      </c>
      <c r="G11" s="14"/>
      <c r="H11">
        <v>31800</v>
      </c>
      <c r="J11" s="13"/>
      <c r="M11" s="13"/>
    </row>
    <row r="12" spans="1:18" x14ac:dyDescent="0.35">
      <c r="A12" s="13">
        <v>44651</v>
      </c>
      <c r="B12">
        <v>14500</v>
      </c>
      <c r="C12">
        <v>18100</v>
      </c>
      <c r="D12" s="14"/>
      <c r="E12">
        <v>18100</v>
      </c>
      <c r="F12">
        <v>5230</v>
      </c>
      <c r="G12" s="14"/>
      <c r="H12">
        <v>33500</v>
      </c>
      <c r="J12" s="13"/>
      <c r="M12" s="13"/>
    </row>
    <row r="13" spans="1:18" x14ac:dyDescent="0.35">
      <c r="A13" s="13">
        <v>44681</v>
      </c>
      <c r="B13">
        <v>15200</v>
      </c>
      <c r="C13">
        <v>18100</v>
      </c>
      <c r="D13" s="14"/>
      <c r="E13">
        <v>22200</v>
      </c>
      <c r="F13">
        <v>5410</v>
      </c>
      <c r="G13" s="14"/>
      <c r="H13">
        <v>32100</v>
      </c>
      <c r="J13" s="13"/>
      <c r="M13" s="13"/>
    </row>
    <row r="14" spans="1:18" x14ac:dyDescent="0.35">
      <c r="A14" s="13">
        <v>44712</v>
      </c>
      <c r="B14">
        <v>16100</v>
      </c>
      <c r="C14">
        <v>14800</v>
      </c>
      <c r="D14" s="14"/>
      <c r="E14">
        <v>22200</v>
      </c>
      <c r="F14">
        <v>5600</v>
      </c>
      <c r="G14" s="14"/>
      <c r="H14">
        <v>34400</v>
      </c>
      <c r="J14" s="13"/>
      <c r="M14" s="13"/>
    </row>
    <row r="15" spans="1:18" x14ac:dyDescent="0.35">
      <c r="A15" s="13">
        <v>44742</v>
      </c>
      <c r="B15">
        <v>17800</v>
      </c>
      <c r="C15">
        <v>18100</v>
      </c>
      <c r="D15" s="14"/>
      <c r="E15">
        <v>22200</v>
      </c>
      <c r="F15">
        <v>5820</v>
      </c>
      <c r="G15" s="14"/>
      <c r="H15">
        <v>36800</v>
      </c>
      <c r="J15" s="13"/>
      <c r="M15" s="13"/>
    </row>
    <row r="16" spans="1:18" x14ac:dyDescent="0.35">
      <c r="A16" s="13">
        <v>44773</v>
      </c>
      <c r="B16">
        <v>18900</v>
      </c>
      <c r="C16">
        <v>18100</v>
      </c>
      <c r="D16" s="14"/>
      <c r="E16">
        <v>27100</v>
      </c>
      <c r="F16">
        <v>6100</v>
      </c>
      <c r="G16" s="14"/>
      <c r="H16">
        <v>38100</v>
      </c>
      <c r="J16" s="13"/>
      <c r="M16" s="13"/>
    </row>
    <row r="17" spans="1:13" x14ac:dyDescent="0.35">
      <c r="A17" s="13">
        <v>44804</v>
      </c>
      <c r="B17">
        <v>19500</v>
      </c>
      <c r="C17">
        <v>22200</v>
      </c>
      <c r="D17" s="14"/>
      <c r="E17">
        <v>27100</v>
      </c>
      <c r="F17">
        <v>6350</v>
      </c>
      <c r="G17" s="14"/>
      <c r="H17">
        <v>39500</v>
      </c>
      <c r="J17" s="13"/>
      <c r="M17" s="13"/>
    </row>
    <row r="18" spans="1:13" x14ac:dyDescent="0.35">
      <c r="A18" s="13">
        <v>44834</v>
      </c>
      <c r="B18">
        <v>21200</v>
      </c>
      <c r="C18">
        <v>18100</v>
      </c>
      <c r="D18" s="14"/>
      <c r="E18">
        <v>27100</v>
      </c>
      <c r="F18">
        <v>6210</v>
      </c>
      <c r="G18" s="14"/>
      <c r="H18">
        <v>41200</v>
      </c>
      <c r="J18" s="13"/>
      <c r="M18" s="13"/>
    </row>
    <row r="19" spans="1:13" x14ac:dyDescent="0.35">
      <c r="A19" s="13">
        <v>44865</v>
      </c>
      <c r="B19">
        <v>24500</v>
      </c>
      <c r="C19">
        <v>18100</v>
      </c>
      <c r="D19" s="14"/>
      <c r="E19">
        <v>33100</v>
      </c>
      <c r="F19">
        <v>6480</v>
      </c>
      <c r="G19" s="14"/>
      <c r="H19">
        <v>42700</v>
      </c>
      <c r="J19" s="13"/>
      <c r="M19" s="13"/>
    </row>
    <row r="20" spans="1:13" x14ac:dyDescent="0.35">
      <c r="A20" s="13">
        <v>44895</v>
      </c>
      <c r="B20">
        <v>25800</v>
      </c>
      <c r="C20">
        <v>14800</v>
      </c>
      <c r="D20" s="14"/>
      <c r="E20">
        <v>40500</v>
      </c>
      <c r="F20">
        <v>6700</v>
      </c>
      <c r="G20" s="14"/>
      <c r="H20">
        <v>44100</v>
      </c>
      <c r="J20" s="13"/>
      <c r="M20" s="13"/>
    </row>
    <row r="21" spans="1:13" x14ac:dyDescent="0.35">
      <c r="A21" s="13">
        <v>44926</v>
      </c>
      <c r="B21">
        <v>26900</v>
      </c>
      <c r="C21">
        <v>14800</v>
      </c>
      <c r="D21" s="14"/>
      <c r="E21">
        <v>40500</v>
      </c>
      <c r="F21">
        <v>6920</v>
      </c>
      <c r="G21" s="14"/>
      <c r="H21">
        <v>43200</v>
      </c>
      <c r="J21" s="13"/>
      <c r="M21" s="13"/>
    </row>
    <row r="22" spans="1:13" x14ac:dyDescent="0.35">
      <c r="A22" s="13">
        <v>44957</v>
      </c>
      <c r="B22">
        <v>31200</v>
      </c>
      <c r="C22">
        <v>18100</v>
      </c>
      <c r="D22" s="14"/>
      <c r="E22">
        <v>40500</v>
      </c>
      <c r="F22">
        <v>7450</v>
      </c>
      <c r="G22" s="14"/>
      <c r="H22">
        <v>46500</v>
      </c>
      <c r="J22" s="13"/>
      <c r="M22" s="13"/>
    </row>
    <row r="23" spans="1:13" x14ac:dyDescent="0.35">
      <c r="A23" s="13">
        <v>44985</v>
      </c>
      <c r="B23">
        <v>33500</v>
      </c>
      <c r="C23">
        <v>14800</v>
      </c>
      <c r="D23" s="14"/>
      <c r="E23">
        <v>49500</v>
      </c>
      <c r="F23">
        <v>7120</v>
      </c>
      <c r="G23" s="14"/>
      <c r="H23">
        <v>45100</v>
      </c>
      <c r="J23" s="13"/>
      <c r="M23" s="13"/>
    </row>
    <row r="24" spans="1:13" x14ac:dyDescent="0.35">
      <c r="A24" s="13">
        <v>45016</v>
      </c>
      <c r="B24">
        <v>44200</v>
      </c>
      <c r="C24">
        <v>18100</v>
      </c>
      <c r="D24" s="14"/>
      <c r="E24">
        <v>49500</v>
      </c>
      <c r="F24">
        <v>7800</v>
      </c>
      <c r="G24" s="14"/>
      <c r="H24">
        <v>49800</v>
      </c>
      <c r="J24" s="13"/>
      <c r="M24" s="13"/>
    </row>
    <row r="25" spans="1:13" x14ac:dyDescent="0.35">
      <c r="A25" s="13">
        <v>45046</v>
      </c>
      <c r="B25">
        <v>42800</v>
      </c>
      <c r="C25">
        <v>18100</v>
      </c>
      <c r="D25" s="14"/>
      <c r="E25">
        <v>60500</v>
      </c>
      <c r="F25">
        <v>8100</v>
      </c>
      <c r="G25" s="14"/>
      <c r="H25">
        <v>48200</v>
      </c>
      <c r="J25" s="13"/>
      <c r="M25" s="13"/>
    </row>
    <row r="26" spans="1:13" x14ac:dyDescent="0.35">
      <c r="A26" s="13">
        <v>45077</v>
      </c>
      <c r="B26">
        <v>41500</v>
      </c>
      <c r="C26">
        <v>18100</v>
      </c>
      <c r="D26" s="14"/>
      <c r="E26">
        <v>49500</v>
      </c>
      <c r="F26">
        <v>8350</v>
      </c>
      <c r="G26" s="14"/>
      <c r="H26">
        <v>47900</v>
      </c>
      <c r="J26" s="13"/>
      <c r="M26" s="13"/>
    </row>
    <row r="27" spans="1:13" x14ac:dyDescent="0.35">
      <c r="A27" s="13">
        <v>45107</v>
      </c>
      <c r="B27">
        <v>40100</v>
      </c>
      <c r="C27">
        <v>22200</v>
      </c>
      <c r="D27" s="14"/>
      <c r="E27">
        <v>49500</v>
      </c>
      <c r="F27">
        <v>8600</v>
      </c>
      <c r="G27" s="14"/>
      <c r="H27">
        <v>49100</v>
      </c>
      <c r="J27" s="13"/>
      <c r="M27" s="13"/>
    </row>
    <row r="28" spans="1:13" x14ac:dyDescent="0.35">
      <c r="A28" s="13">
        <v>45138</v>
      </c>
      <c r="B28">
        <v>41200</v>
      </c>
      <c r="C28">
        <v>22200</v>
      </c>
      <c r="D28" s="14"/>
      <c r="E28">
        <v>60500</v>
      </c>
      <c r="F28">
        <v>8920</v>
      </c>
      <c r="G28" s="14"/>
      <c r="H28">
        <v>50300</v>
      </c>
      <c r="J28" s="13"/>
      <c r="M28" s="13"/>
    </row>
    <row r="29" spans="1:13" x14ac:dyDescent="0.35">
      <c r="A29" s="13">
        <v>45169</v>
      </c>
      <c r="B29">
        <v>40800</v>
      </c>
      <c r="C29">
        <v>22200</v>
      </c>
      <c r="D29" s="14"/>
      <c r="E29">
        <v>60500</v>
      </c>
      <c r="F29">
        <v>9150</v>
      </c>
      <c r="G29" s="14"/>
      <c r="H29">
        <v>51400</v>
      </c>
      <c r="J29" s="13"/>
      <c r="M29" s="13"/>
    </row>
    <row r="30" spans="1:13" x14ac:dyDescent="0.35">
      <c r="A30" s="13">
        <v>45199</v>
      </c>
      <c r="B30">
        <v>39500</v>
      </c>
      <c r="C30">
        <v>18100</v>
      </c>
      <c r="D30" s="14"/>
      <c r="E30">
        <v>60500</v>
      </c>
      <c r="F30">
        <v>8800</v>
      </c>
      <c r="G30" s="14"/>
      <c r="H30">
        <v>50800</v>
      </c>
      <c r="J30" s="13"/>
      <c r="M30" s="13"/>
    </row>
    <row r="31" spans="1:13" x14ac:dyDescent="0.35">
      <c r="A31" s="13">
        <v>45230</v>
      </c>
      <c r="B31">
        <v>42100</v>
      </c>
      <c r="C31">
        <v>18100</v>
      </c>
      <c r="D31" s="14"/>
      <c r="E31">
        <v>49500</v>
      </c>
      <c r="F31">
        <v>9240</v>
      </c>
      <c r="G31" s="14"/>
      <c r="H31">
        <v>49600</v>
      </c>
      <c r="J31" s="13"/>
      <c r="M31" s="13"/>
    </row>
    <row r="32" spans="1:13" x14ac:dyDescent="0.35">
      <c r="A32" s="13">
        <v>45260</v>
      </c>
      <c r="B32">
        <v>40600</v>
      </c>
      <c r="C32">
        <v>18100</v>
      </c>
      <c r="D32" s="14"/>
      <c r="E32">
        <v>49500</v>
      </c>
      <c r="F32">
        <v>9510</v>
      </c>
      <c r="G32" s="14"/>
      <c r="H32">
        <v>48700</v>
      </c>
      <c r="J32" s="13"/>
      <c r="M32" s="13"/>
    </row>
    <row r="33" spans="1:13" x14ac:dyDescent="0.35">
      <c r="A33" s="13">
        <v>45291</v>
      </c>
      <c r="B33">
        <v>38900</v>
      </c>
      <c r="C33">
        <v>14800</v>
      </c>
      <c r="D33" s="14"/>
      <c r="E33">
        <v>40500</v>
      </c>
      <c r="F33">
        <v>9800</v>
      </c>
      <c r="G33" s="14"/>
      <c r="H33">
        <v>49200</v>
      </c>
      <c r="J33" s="13"/>
      <c r="M33" s="13"/>
    </row>
    <row r="34" spans="1:13" x14ac:dyDescent="0.35">
      <c r="A34" s="13">
        <v>45322</v>
      </c>
      <c r="B34">
        <v>43500</v>
      </c>
      <c r="C34">
        <v>18100</v>
      </c>
      <c r="D34" s="14"/>
      <c r="E34">
        <v>40500</v>
      </c>
      <c r="F34">
        <v>10200</v>
      </c>
      <c r="G34" s="14"/>
      <c r="H34">
        <v>52100</v>
      </c>
      <c r="J34" s="13"/>
      <c r="M34" s="13"/>
    </row>
    <row r="35" spans="1:13" x14ac:dyDescent="0.35">
      <c r="A35" s="13">
        <v>45351</v>
      </c>
      <c r="B35">
        <v>41200</v>
      </c>
      <c r="C35">
        <v>18100</v>
      </c>
      <c r="D35" s="14"/>
      <c r="E35">
        <v>49500</v>
      </c>
      <c r="F35">
        <v>9950</v>
      </c>
      <c r="G35" s="14"/>
      <c r="H35">
        <v>50400</v>
      </c>
      <c r="J35" s="13"/>
      <c r="M35" s="13"/>
    </row>
    <row r="36" spans="1:13" x14ac:dyDescent="0.35">
      <c r="A36" s="13">
        <v>45382</v>
      </c>
      <c r="B36">
        <v>39800</v>
      </c>
      <c r="C36">
        <v>22200</v>
      </c>
      <c r="D36" s="14"/>
      <c r="E36">
        <v>40500</v>
      </c>
      <c r="F36">
        <v>10600</v>
      </c>
      <c r="G36" s="14"/>
      <c r="H36">
        <v>51700</v>
      </c>
      <c r="J36" s="13"/>
      <c r="M36" s="13"/>
    </row>
    <row r="37" spans="1:13" x14ac:dyDescent="0.35">
      <c r="A37" s="13">
        <v>45412</v>
      </c>
      <c r="B37">
        <v>38200</v>
      </c>
      <c r="C37">
        <v>22200</v>
      </c>
      <c r="D37" s="14"/>
      <c r="E37">
        <v>40500</v>
      </c>
      <c r="F37">
        <v>10900</v>
      </c>
      <c r="G37" s="14"/>
      <c r="H37">
        <v>50900</v>
      </c>
      <c r="J37" s="13"/>
      <c r="M37" s="13"/>
    </row>
    <row r="38" spans="1:13" x14ac:dyDescent="0.35">
      <c r="A38" s="13">
        <v>45443</v>
      </c>
      <c r="B38">
        <v>37500</v>
      </c>
      <c r="C38">
        <v>22200</v>
      </c>
      <c r="D38" s="14"/>
      <c r="E38">
        <v>33100</v>
      </c>
      <c r="F38">
        <v>11200</v>
      </c>
      <c r="G38" s="14"/>
      <c r="H38">
        <v>49800</v>
      </c>
      <c r="J38" s="13"/>
      <c r="M38" s="13"/>
    </row>
    <row r="39" spans="1:13" x14ac:dyDescent="0.35">
      <c r="A39" s="13">
        <v>45473</v>
      </c>
      <c r="B39">
        <v>36900</v>
      </c>
      <c r="C39">
        <v>27100</v>
      </c>
      <c r="D39" s="14"/>
      <c r="E39">
        <v>33100</v>
      </c>
      <c r="F39">
        <v>11550</v>
      </c>
      <c r="G39" s="14"/>
      <c r="H39">
        <v>48500</v>
      </c>
      <c r="J39" s="13"/>
      <c r="M39" s="13"/>
    </row>
    <row r="40" spans="1:13" x14ac:dyDescent="0.35">
      <c r="A40" s="13">
        <v>45504</v>
      </c>
      <c r="B40">
        <v>37400</v>
      </c>
      <c r="C40">
        <v>27100</v>
      </c>
      <c r="D40" s="14"/>
      <c r="E40">
        <v>33100</v>
      </c>
      <c r="F40">
        <v>12100</v>
      </c>
      <c r="G40" s="14"/>
      <c r="H40">
        <v>50100</v>
      </c>
      <c r="J40" s="13"/>
      <c r="M40" s="13"/>
    </row>
    <row r="41" spans="1:13" x14ac:dyDescent="0.35">
      <c r="A41" s="13">
        <v>45535</v>
      </c>
      <c r="B41">
        <v>38100</v>
      </c>
      <c r="C41">
        <v>22200</v>
      </c>
      <c r="D41" s="14"/>
      <c r="E41">
        <v>33100</v>
      </c>
      <c r="F41">
        <v>12400</v>
      </c>
      <c r="G41" s="14"/>
      <c r="H41">
        <v>49200</v>
      </c>
      <c r="J41" s="13"/>
      <c r="M41" s="13"/>
    </row>
    <row r="42" spans="1:13" x14ac:dyDescent="0.35">
      <c r="A42" s="13">
        <v>45565</v>
      </c>
      <c r="B42">
        <v>39200</v>
      </c>
      <c r="C42">
        <v>22200</v>
      </c>
      <c r="D42" s="14"/>
      <c r="E42">
        <v>27100</v>
      </c>
      <c r="F42">
        <v>11950</v>
      </c>
      <c r="G42" s="14"/>
      <c r="H42">
        <v>47800</v>
      </c>
      <c r="J42" s="13"/>
      <c r="M42" s="13"/>
    </row>
    <row r="43" spans="1:13" x14ac:dyDescent="0.35">
      <c r="A43" s="13">
        <v>45596</v>
      </c>
      <c r="B43">
        <v>38800</v>
      </c>
      <c r="C43">
        <v>22200</v>
      </c>
      <c r="D43" s="14"/>
      <c r="E43">
        <v>27100</v>
      </c>
      <c r="F43">
        <v>12300</v>
      </c>
      <c r="G43" s="14"/>
      <c r="H43">
        <v>48300</v>
      </c>
      <c r="J43" s="13"/>
      <c r="M43" s="13"/>
    </row>
    <row r="44" spans="1:13" x14ac:dyDescent="0.35">
      <c r="A44" s="13">
        <v>45626</v>
      </c>
      <c r="B44">
        <v>37500</v>
      </c>
      <c r="C44">
        <v>18100</v>
      </c>
      <c r="D44" s="14"/>
      <c r="E44">
        <v>22200</v>
      </c>
      <c r="F44">
        <v>12750</v>
      </c>
      <c r="G44" s="14"/>
      <c r="H44">
        <v>47100</v>
      </c>
      <c r="J44" s="13"/>
      <c r="M44" s="13"/>
    </row>
    <row r="45" spans="1:13" x14ac:dyDescent="0.35">
      <c r="A45" s="13">
        <v>45657</v>
      </c>
      <c r="B45">
        <v>36200</v>
      </c>
      <c r="C45">
        <v>18100</v>
      </c>
      <c r="D45" s="14"/>
      <c r="E45">
        <v>22200</v>
      </c>
      <c r="F45">
        <v>13100</v>
      </c>
      <c r="G45" s="14"/>
      <c r="H45">
        <v>47900</v>
      </c>
      <c r="J45" s="13"/>
      <c r="M45" s="13"/>
    </row>
    <row r="46" spans="1:13" x14ac:dyDescent="0.35">
      <c r="A46" s="13">
        <v>45688</v>
      </c>
      <c r="B46">
        <v>39500</v>
      </c>
      <c r="C46">
        <v>22200</v>
      </c>
      <c r="D46" s="14"/>
      <c r="E46">
        <v>18100</v>
      </c>
      <c r="F46">
        <v>13800</v>
      </c>
      <c r="G46" s="14"/>
      <c r="H46">
        <v>50600</v>
      </c>
      <c r="J46" s="13"/>
      <c r="M46" s="13"/>
    </row>
    <row r="47" spans="1:13" x14ac:dyDescent="0.35">
      <c r="A47" s="13">
        <v>45716</v>
      </c>
      <c r="B47">
        <v>37200</v>
      </c>
      <c r="C47">
        <v>18100</v>
      </c>
      <c r="D47" s="14"/>
      <c r="E47">
        <v>22200</v>
      </c>
      <c r="F47">
        <v>13450</v>
      </c>
      <c r="G47" s="14"/>
      <c r="H47">
        <v>49200</v>
      </c>
      <c r="J47" s="13"/>
      <c r="M47" s="13"/>
    </row>
    <row r="48" spans="1:13" x14ac:dyDescent="0.35">
      <c r="A48" s="13">
        <v>45747</v>
      </c>
      <c r="B48">
        <v>36800</v>
      </c>
      <c r="C48">
        <v>22200</v>
      </c>
      <c r="D48" s="14"/>
      <c r="E48">
        <v>22200</v>
      </c>
      <c r="F48">
        <v>14200</v>
      </c>
      <c r="G48" s="14"/>
      <c r="H48">
        <v>51300</v>
      </c>
      <c r="J48" s="13"/>
      <c r="M48" s="13"/>
    </row>
    <row r="49" spans="1:15" x14ac:dyDescent="0.35">
      <c r="A49" s="13">
        <v>45777</v>
      </c>
      <c r="B49">
        <v>35500</v>
      </c>
      <c r="C49">
        <v>22200</v>
      </c>
      <c r="D49" s="14"/>
      <c r="E49">
        <v>22200</v>
      </c>
      <c r="F49">
        <v>14600</v>
      </c>
      <c r="G49" s="14"/>
      <c r="H49">
        <v>50100</v>
      </c>
      <c r="J49" s="13"/>
      <c r="M49" s="13"/>
    </row>
    <row r="50" spans="1:15" x14ac:dyDescent="0.35">
      <c r="A50" s="13">
        <v>45808</v>
      </c>
      <c r="B50">
        <v>34200</v>
      </c>
      <c r="C50">
        <v>27100</v>
      </c>
      <c r="D50" s="14"/>
      <c r="E50">
        <v>18100</v>
      </c>
      <c r="F50">
        <v>14900</v>
      </c>
      <c r="G50" s="14"/>
      <c r="H50">
        <v>49400</v>
      </c>
      <c r="J50" s="13"/>
      <c r="M50" s="13"/>
    </row>
    <row r="51" spans="1:15" x14ac:dyDescent="0.35">
      <c r="A51" s="13">
        <v>45838</v>
      </c>
      <c r="B51">
        <v>33100</v>
      </c>
      <c r="C51">
        <v>27100</v>
      </c>
      <c r="D51" s="14"/>
      <c r="E51">
        <v>18100</v>
      </c>
      <c r="F51">
        <v>15300</v>
      </c>
      <c r="G51" s="14"/>
      <c r="H51">
        <v>48200</v>
      </c>
      <c r="J51" s="13"/>
      <c r="M51" s="13"/>
    </row>
    <row r="52" spans="1:15" x14ac:dyDescent="0.35">
      <c r="A52" s="13">
        <v>45869</v>
      </c>
      <c r="B52">
        <v>33800</v>
      </c>
      <c r="C52">
        <v>33100</v>
      </c>
      <c r="D52" s="14"/>
      <c r="E52">
        <v>18100</v>
      </c>
      <c r="F52">
        <v>15800</v>
      </c>
      <c r="G52" s="14"/>
      <c r="H52">
        <v>49700</v>
      </c>
      <c r="J52" s="13"/>
      <c r="M52" s="13"/>
    </row>
    <row r="53" spans="1:15" x14ac:dyDescent="0.35">
      <c r="A53" s="13">
        <v>45900</v>
      </c>
      <c r="B53">
        <v>34500</v>
      </c>
      <c r="C53">
        <v>27100</v>
      </c>
      <c r="D53" s="14"/>
      <c r="E53">
        <v>18100</v>
      </c>
      <c r="F53">
        <v>16200</v>
      </c>
      <c r="G53" s="14"/>
      <c r="H53">
        <v>48800</v>
      </c>
      <c r="J53" s="13"/>
      <c r="M53" s="13"/>
    </row>
    <row r="54" spans="1:15" x14ac:dyDescent="0.35">
      <c r="A54" s="13">
        <v>45930</v>
      </c>
      <c r="B54">
        <v>32900</v>
      </c>
      <c r="C54">
        <v>27100</v>
      </c>
      <c r="D54" s="14"/>
      <c r="E54">
        <v>14800</v>
      </c>
      <c r="F54">
        <v>15700</v>
      </c>
      <c r="G54" s="14"/>
      <c r="H54">
        <v>47500</v>
      </c>
      <c r="J54" s="13"/>
      <c r="M54" s="13"/>
    </row>
    <row r="55" spans="1:15" x14ac:dyDescent="0.35">
      <c r="A55" s="13">
        <v>45961</v>
      </c>
      <c r="B55">
        <v>31500</v>
      </c>
      <c r="C55">
        <v>22200</v>
      </c>
      <c r="D55" s="14"/>
      <c r="E55">
        <v>14800</v>
      </c>
      <c r="F55">
        <v>16100</v>
      </c>
      <c r="G55" s="14"/>
      <c r="H55">
        <v>46900</v>
      </c>
      <c r="J55" s="13"/>
      <c r="M55" s="13"/>
    </row>
    <row r="56" spans="1:15" x14ac:dyDescent="0.35">
      <c r="A56" s="13">
        <v>45991</v>
      </c>
      <c r="B56">
        <v>30800</v>
      </c>
      <c r="C56">
        <v>22200</v>
      </c>
      <c r="D56" s="14"/>
      <c r="E56">
        <v>14800</v>
      </c>
      <c r="F56">
        <v>16600</v>
      </c>
      <c r="G56" s="14"/>
      <c r="H56">
        <v>46200</v>
      </c>
      <c r="J56" s="13"/>
      <c r="M56" s="13"/>
    </row>
    <row r="57" spans="1:15" x14ac:dyDescent="0.35">
      <c r="A57" s="13">
        <v>46022</v>
      </c>
      <c r="B57">
        <v>29900</v>
      </c>
      <c r="C57">
        <v>18100</v>
      </c>
      <c r="D57" s="14"/>
      <c r="E57">
        <v>12100</v>
      </c>
      <c r="F57">
        <v>17200</v>
      </c>
      <c r="G57" s="14"/>
      <c r="H57">
        <v>47100</v>
      </c>
      <c r="J57" s="13"/>
      <c r="M57" s="13"/>
    </row>
    <row r="58" spans="1:15" x14ac:dyDescent="0.35">
      <c r="A58" s="13">
        <v>46053</v>
      </c>
      <c r="B58">
        <v>33200</v>
      </c>
      <c r="C58">
        <v>22200</v>
      </c>
      <c r="D58" s="14"/>
      <c r="E58">
        <v>12100</v>
      </c>
      <c r="F58">
        <v>17900</v>
      </c>
      <c r="G58" s="14"/>
      <c r="H58">
        <v>49300</v>
      </c>
      <c r="J58" s="13"/>
      <c r="M58" s="13"/>
    </row>
    <row r="59" spans="1:15" x14ac:dyDescent="0.35">
      <c r="A59" s="13">
        <v>46081</v>
      </c>
      <c r="B59">
        <v>31800</v>
      </c>
      <c r="C59">
        <v>18100</v>
      </c>
      <c r="D59" s="14"/>
      <c r="E59">
        <v>14800</v>
      </c>
      <c r="F59">
        <v>17400</v>
      </c>
      <c r="G59" s="14"/>
      <c r="H59">
        <v>48100</v>
      </c>
      <c r="J59" s="13"/>
      <c r="M59" s="13"/>
    </row>
    <row r="60" spans="1:15" x14ac:dyDescent="0.35">
      <c r="A60" s="13">
        <v>46112</v>
      </c>
      <c r="B60">
        <v>31200</v>
      </c>
      <c r="C60">
        <v>22200</v>
      </c>
      <c r="D60" s="14"/>
      <c r="E60">
        <v>14800</v>
      </c>
      <c r="F60">
        <v>18500</v>
      </c>
      <c r="G60" s="14"/>
      <c r="H60">
        <v>49500</v>
      </c>
      <c r="J60" s="13"/>
      <c r="M60" s="13"/>
    </row>
    <row r="61" spans="1:15" x14ac:dyDescent="0.35">
      <c r="A61" s="13">
        <v>46142</v>
      </c>
      <c r="B61">
        <v>30500</v>
      </c>
      <c r="C61">
        <v>22200</v>
      </c>
      <c r="D61" s="14"/>
      <c r="E61">
        <v>14800</v>
      </c>
      <c r="F61">
        <v>16200</v>
      </c>
      <c r="G61" s="14"/>
      <c r="H61">
        <v>48600</v>
      </c>
      <c r="J61" s="13"/>
      <c r="M61" s="13"/>
    </row>
    <row r="62" spans="1:15" x14ac:dyDescent="0.35">
      <c r="C62" s="14"/>
      <c r="D62" s="14"/>
      <c r="G62" s="14"/>
      <c r="H62" s="14"/>
      <c r="J62" s="13"/>
      <c r="M62" s="13"/>
      <c r="N62" s="13"/>
      <c r="O62" s="14"/>
    </row>
    <row r="63" spans="1:15" x14ac:dyDescent="0.35">
      <c r="C63" s="14"/>
      <c r="D63" s="14"/>
      <c r="F63" s="14"/>
      <c r="G63" s="14"/>
      <c r="H63" s="14"/>
      <c r="K63" s="13"/>
      <c r="M63" s="13"/>
      <c r="N63" s="13"/>
      <c r="O63" s="13"/>
    </row>
    <row r="64" spans="1:15" x14ac:dyDescent="0.35">
      <c r="D64" s="14"/>
      <c r="F64" s="14"/>
      <c r="H64" s="14"/>
      <c r="N64" s="13"/>
    </row>
    <row r="65" spans="14:14" x14ac:dyDescent="0.35">
      <c r="N65" s="13"/>
    </row>
    <row r="66" spans="14:14" x14ac:dyDescent="0.35">
      <c r="N66" s="13"/>
    </row>
    <row r="67" spans="14:14" x14ac:dyDescent="0.35">
      <c r="N67" s="13"/>
    </row>
    <row r="68" spans="14:14" x14ac:dyDescent="0.35">
      <c r="N68" s="13"/>
    </row>
    <row r="69" spans="14:14" x14ac:dyDescent="0.35">
      <c r="N69" s="13"/>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A8B1AF-078B-4A73-8E79-1A3A32CEB8A3}">
  <dimension ref="D1:G62"/>
  <sheetViews>
    <sheetView workbookViewId="0">
      <selection activeCell="O19" sqref="O19"/>
    </sheetView>
  </sheetViews>
  <sheetFormatPr defaultRowHeight="14.5" x14ac:dyDescent="0.35"/>
  <sheetData>
    <row r="1" spans="4:7" x14ac:dyDescent="0.35">
      <c r="D1" t="s">
        <v>136</v>
      </c>
      <c r="E1" t="s">
        <v>137</v>
      </c>
      <c r="F1" t="s">
        <v>137</v>
      </c>
      <c r="G1" t="s">
        <v>138</v>
      </c>
    </row>
    <row r="2" spans="4:7" x14ac:dyDescent="0.35">
      <c r="D2">
        <v>2021</v>
      </c>
      <c r="E2" t="s">
        <v>139</v>
      </c>
      <c r="F2" t="str">
        <f>_xlfn.CONCAT(D2, " ", E2)</f>
        <v>2021 April</v>
      </c>
      <c r="G2">
        <v>135000</v>
      </c>
    </row>
    <row r="3" spans="4:7" x14ac:dyDescent="0.35">
      <c r="D3">
        <v>2021</v>
      </c>
      <c r="E3" t="s">
        <v>125</v>
      </c>
      <c r="F3" t="str">
        <f t="shared" ref="F3:F62" si="0">_xlfn.CONCAT(D3, " ", E3)</f>
        <v>2021 May</v>
      </c>
      <c r="G3">
        <v>140000</v>
      </c>
    </row>
    <row r="4" spans="4:7" x14ac:dyDescent="0.35">
      <c r="D4">
        <v>2021</v>
      </c>
      <c r="E4" t="s">
        <v>140</v>
      </c>
      <c r="F4" t="str">
        <f t="shared" si="0"/>
        <v>2021 June</v>
      </c>
      <c r="G4">
        <v>138000</v>
      </c>
    </row>
    <row r="5" spans="4:7" x14ac:dyDescent="0.35">
      <c r="D5">
        <v>2021</v>
      </c>
      <c r="E5" t="s">
        <v>141</v>
      </c>
      <c r="F5" t="str">
        <f t="shared" si="0"/>
        <v>2021 July</v>
      </c>
      <c r="G5">
        <v>145000</v>
      </c>
    </row>
    <row r="6" spans="4:7" x14ac:dyDescent="0.35">
      <c r="D6">
        <v>2021</v>
      </c>
      <c r="E6" t="s">
        <v>142</v>
      </c>
      <c r="F6" t="str">
        <f t="shared" si="0"/>
        <v>2021 August</v>
      </c>
      <c r="G6">
        <v>150000</v>
      </c>
    </row>
    <row r="7" spans="4:7" x14ac:dyDescent="0.35">
      <c r="D7">
        <v>2021</v>
      </c>
      <c r="E7" t="s">
        <v>143</v>
      </c>
      <c r="F7" t="str">
        <f t="shared" si="0"/>
        <v>2021 September</v>
      </c>
      <c r="G7">
        <v>148000</v>
      </c>
    </row>
    <row r="8" spans="4:7" x14ac:dyDescent="0.35">
      <c r="D8">
        <v>2021</v>
      </c>
      <c r="E8" t="s">
        <v>144</v>
      </c>
      <c r="F8" t="str">
        <f t="shared" si="0"/>
        <v>2021 October</v>
      </c>
      <c r="G8">
        <v>155000</v>
      </c>
    </row>
    <row r="9" spans="4:7" x14ac:dyDescent="0.35">
      <c r="D9">
        <v>2021</v>
      </c>
      <c r="E9" t="s">
        <v>145</v>
      </c>
      <c r="F9" t="str">
        <f t="shared" si="0"/>
        <v>2021 November</v>
      </c>
      <c r="G9">
        <v>160000</v>
      </c>
    </row>
    <row r="10" spans="4:7" x14ac:dyDescent="0.35">
      <c r="D10">
        <v>2021</v>
      </c>
      <c r="E10" t="s">
        <v>146</v>
      </c>
      <c r="F10" t="str">
        <f t="shared" si="0"/>
        <v>2021 December</v>
      </c>
      <c r="G10">
        <v>158000</v>
      </c>
    </row>
    <row r="11" spans="4:7" x14ac:dyDescent="0.35">
      <c r="D11">
        <v>2022</v>
      </c>
      <c r="E11" t="s">
        <v>147</v>
      </c>
      <c r="F11" t="str">
        <f t="shared" si="0"/>
        <v>2022 January</v>
      </c>
      <c r="G11">
        <v>180000</v>
      </c>
    </row>
    <row r="12" spans="4:7" x14ac:dyDescent="0.35">
      <c r="D12">
        <v>2022</v>
      </c>
      <c r="E12" t="s">
        <v>148</v>
      </c>
      <c r="F12" t="str">
        <f t="shared" si="0"/>
        <v>2022 February</v>
      </c>
      <c r="G12">
        <v>175000</v>
      </c>
    </row>
    <row r="13" spans="4:7" x14ac:dyDescent="0.35">
      <c r="D13">
        <v>2022</v>
      </c>
      <c r="E13" t="s">
        <v>149</v>
      </c>
      <c r="F13" t="str">
        <f t="shared" si="0"/>
        <v>2022 March</v>
      </c>
      <c r="G13">
        <v>190000</v>
      </c>
    </row>
    <row r="14" spans="4:7" x14ac:dyDescent="0.35">
      <c r="D14">
        <v>2022</v>
      </c>
      <c r="E14" t="s">
        <v>139</v>
      </c>
      <c r="F14" t="str">
        <f t="shared" si="0"/>
        <v>2022 April</v>
      </c>
      <c r="G14">
        <v>201000</v>
      </c>
    </row>
    <row r="15" spans="4:7" x14ac:dyDescent="0.35">
      <c r="D15">
        <v>2022</v>
      </c>
      <c r="E15" t="s">
        <v>125</v>
      </c>
      <c r="F15" t="str">
        <f t="shared" si="0"/>
        <v>2022 May</v>
      </c>
      <c r="G15">
        <v>210000</v>
      </c>
    </row>
    <row r="16" spans="4:7" x14ac:dyDescent="0.35">
      <c r="D16">
        <v>2022</v>
      </c>
      <c r="E16" t="s">
        <v>140</v>
      </c>
      <c r="F16" t="str">
        <f t="shared" si="0"/>
        <v>2022 June</v>
      </c>
      <c r="G16">
        <v>225000</v>
      </c>
    </row>
    <row r="17" spans="4:7" x14ac:dyDescent="0.35">
      <c r="D17">
        <v>2022</v>
      </c>
      <c r="E17" t="s">
        <v>141</v>
      </c>
      <c r="F17" t="str">
        <f t="shared" si="0"/>
        <v>2022 July</v>
      </c>
      <c r="G17">
        <v>240000</v>
      </c>
    </row>
    <row r="18" spans="4:7" x14ac:dyDescent="0.35">
      <c r="D18">
        <v>2022</v>
      </c>
      <c r="E18" t="s">
        <v>142</v>
      </c>
      <c r="F18" t="str">
        <f t="shared" si="0"/>
        <v>2022 August</v>
      </c>
      <c r="G18">
        <v>255000</v>
      </c>
    </row>
    <row r="19" spans="4:7" x14ac:dyDescent="0.35">
      <c r="D19">
        <v>2022</v>
      </c>
      <c r="E19" t="s">
        <v>143</v>
      </c>
      <c r="F19" t="str">
        <f t="shared" si="0"/>
        <v>2022 September</v>
      </c>
      <c r="G19">
        <v>270000</v>
      </c>
    </row>
    <row r="20" spans="4:7" x14ac:dyDescent="0.35">
      <c r="D20">
        <v>2022</v>
      </c>
      <c r="E20" t="s">
        <v>144</v>
      </c>
      <c r="F20" t="str">
        <f t="shared" si="0"/>
        <v>2022 October</v>
      </c>
      <c r="G20">
        <v>300000</v>
      </c>
    </row>
    <row r="21" spans="4:7" x14ac:dyDescent="0.35">
      <c r="D21">
        <v>2022</v>
      </c>
      <c r="E21" t="s">
        <v>145</v>
      </c>
      <c r="F21" t="str">
        <f t="shared" si="0"/>
        <v>2022 November</v>
      </c>
      <c r="G21">
        <v>310000</v>
      </c>
    </row>
    <row r="22" spans="4:7" x14ac:dyDescent="0.35">
      <c r="D22">
        <v>2022</v>
      </c>
      <c r="E22" t="s">
        <v>146</v>
      </c>
      <c r="F22" t="str">
        <f t="shared" si="0"/>
        <v>2022 December</v>
      </c>
      <c r="G22">
        <v>290000</v>
      </c>
    </row>
    <row r="23" spans="4:7" x14ac:dyDescent="0.35">
      <c r="D23">
        <v>2023</v>
      </c>
      <c r="E23" t="s">
        <v>147</v>
      </c>
      <c r="F23" t="str">
        <f t="shared" si="0"/>
        <v>2023 January</v>
      </c>
      <c r="G23">
        <v>330000</v>
      </c>
    </row>
    <row r="24" spans="4:7" x14ac:dyDescent="0.35">
      <c r="D24">
        <v>2023</v>
      </c>
      <c r="E24" t="s">
        <v>148</v>
      </c>
      <c r="F24" t="str">
        <f t="shared" si="0"/>
        <v>2023 February</v>
      </c>
      <c r="G24">
        <v>315000</v>
      </c>
    </row>
    <row r="25" spans="4:7" x14ac:dyDescent="0.35">
      <c r="D25">
        <v>2023</v>
      </c>
      <c r="E25" t="s">
        <v>149</v>
      </c>
      <c r="F25" t="str">
        <f t="shared" si="0"/>
        <v>2023 March</v>
      </c>
      <c r="G25">
        <v>350000</v>
      </c>
    </row>
    <row r="26" spans="4:7" x14ac:dyDescent="0.35">
      <c r="D26">
        <v>2023</v>
      </c>
      <c r="E26" t="s">
        <v>139</v>
      </c>
      <c r="F26" t="str">
        <f t="shared" si="0"/>
        <v>2023 April</v>
      </c>
      <c r="G26">
        <v>340000</v>
      </c>
    </row>
    <row r="27" spans="4:7" x14ac:dyDescent="0.35">
      <c r="D27">
        <v>2023</v>
      </c>
      <c r="E27" t="s">
        <v>125</v>
      </c>
      <c r="F27" t="str">
        <f t="shared" si="0"/>
        <v>2023 May</v>
      </c>
      <c r="G27">
        <v>330000</v>
      </c>
    </row>
    <row r="28" spans="4:7" x14ac:dyDescent="0.35">
      <c r="D28">
        <v>2023</v>
      </c>
      <c r="E28" t="s">
        <v>140</v>
      </c>
      <c r="F28" t="str">
        <f t="shared" si="0"/>
        <v>2023 June</v>
      </c>
      <c r="G28">
        <v>320000</v>
      </c>
    </row>
    <row r="29" spans="4:7" x14ac:dyDescent="0.35">
      <c r="D29">
        <v>2023</v>
      </c>
      <c r="E29" t="s">
        <v>141</v>
      </c>
      <c r="F29" t="str">
        <f t="shared" si="0"/>
        <v>2023 July</v>
      </c>
      <c r="G29">
        <v>345000</v>
      </c>
    </row>
    <row r="30" spans="4:7" x14ac:dyDescent="0.35">
      <c r="D30">
        <v>2023</v>
      </c>
      <c r="E30" t="s">
        <v>142</v>
      </c>
      <c r="F30" t="str">
        <f t="shared" si="0"/>
        <v>2023 August</v>
      </c>
      <c r="G30">
        <v>360000</v>
      </c>
    </row>
    <row r="31" spans="4:7" x14ac:dyDescent="0.35">
      <c r="D31">
        <v>2023</v>
      </c>
      <c r="E31" t="s">
        <v>143</v>
      </c>
      <c r="F31" t="str">
        <f t="shared" si="0"/>
        <v>2023 September</v>
      </c>
      <c r="G31">
        <v>355000</v>
      </c>
    </row>
    <row r="32" spans="4:7" x14ac:dyDescent="0.35">
      <c r="D32">
        <v>2023</v>
      </c>
      <c r="E32" t="s">
        <v>144</v>
      </c>
      <c r="F32" t="str">
        <f t="shared" si="0"/>
        <v>2023 October</v>
      </c>
      <c r="G32">
        <v>370000</v>
      </c>
    </row>
    <row r="33" spans="4:7" x14ac:dyDescent="0.35">
      <c r="D33">
        <v>2023</v>
      </c>
      <c r="E33" t="s">
        <v>145</v>
      </c>
      <c r="F33" t="str">
        <f t="shared" si="0"/>
        <v>2023 November</v>
      </c>
      <c r="G33">
        <v>365000</v>
      </c>
    </row>
    <row r="34" spans="4:7" x14ac:dyDescent="0.35">
      <c r="D34">
        <v>2023</v>
      </c>
      <c r="E34" t="s">
        <v>146</v>
      </c>
      <c r="F34" t="str">
        <f t="shared" si="0"/>
        <v>2023 December</v>
      </c>
      <c r="G34">
        <v>350000</v>
      </c>
    </row>
    <row r="35" spans="4:7" x14ac:dyDescent="0.35">
      <c r="D35">
        <v>2024</v>
      </c>
      <c r="E35" t="s">
        <v>147</v>
      </c>
      <c r="F35" t="str">
        <f t="shared" si="0"/>
        <v>2024 January</v>
      </c>
      <c r="G35">
        <v>390000</v>
      </c>
    </row>
    <row r="36" spans="4:7" x14ac:dyDescent="0.35">
      <c r="D36">
        <v>2024</v>
      </c>
      <c r="E36" t="s">
        <v>148</v>
      </c>
      <c r="F36" t="str">
        <f t="shared" si="0"/>
        <v>2024 February</v>
      </c>
      <c r="G36">
        <v>380000</v>
      </c>
    </row>
    <row r="37" spans="4:7" x14ac:dyDescent="0.35">
      <c r="D37">
        <v>2024</v>
      </c>
      <c r="E37" t="s">
        <v>149</v>
      </c>
      <c r="F37" t="str">
        <f t="shared" si="0"/>
        <v>2024 March</v>
      </c>
      <c r="G37">
        <v>400000</v>
      </c>
    </row>
    <row r="38" spans="4:7" x14ac:dyDescent="0.35">
      <c r="D38">
        <v>2024</v>
      </c>
      <c r="E38" t="s">
        <v>139</v>
      </c>
      <c r="F38" t="str">
        <f t="shared" si="0"/>
        <v>2024 April</v>
      </c>
      <c r="G38">
        <v>395000</v>
      </c>
    </row>
    <row r="39" spans="4:7" x14ac:dyDescent="0.35">
      <c r="D39">
        <v>2024</v>
      </c>
      <c r="E39" t="s">
        <v>125</v>
      </c>
      <c r="F39" t="str">
        <f t="shared" si="0"/>
        <v>2024 May</v>
      </c>
      <c r="G39">
        <v>385000</v>
      </c>
    </row>
    <row r="40" spans="4:7" x14ac:dyDescent="0.35">
      <c r="D40">
        <v>2024</v>
      </c>
      <c r="E40" t="s">
        <v>140</v>
      </c>
      <c r="F40" t="str">
        <f t="shared" si="0"/>
        <v>2024 June</v>
      </c>
      <c r="G40">
        <v>375000</v>
      </c>
    </row>
    <row r="41" spans="4:7" x14ac:dyDescent="0.35">
      <c r="D41">
        <v>2024</v>
      </c>
      <c r="E41" t="s">
        <v>141</v>
      </c>
      <c r="F41" t="str">
        <f t="shared" si="0"/>
        <v>2024 July</v>
      </c>
      <c r="G41">
        <v>390000</v>
      </c>
    </row>
    <row r="42" spans="4:7" x14ac:dyDescent="0.35">
      <c r="D42">
        <v>2024</v>
      </c>
      <c r="E42" t="s">
        <v>142</v>
      </c>
      <c r="F42" t="str">
        <f t="shared" si="0"/>
        <v>2024 August</v>
      </c>
      <c r="G42">
        <v>410000</v>
      </c>
    </row>
    <row r="43" spans="4:7" x14ac:dyDescent="0.35">
      <c r="D43">
        <v>2024</v>
      </c>
      <c r="E43" t="s">
        <v>143</v>
      </c>
      <c r="F43" t="str">
        <f t="shared" si="0"/>
        <v>2024 September</v>
      </c>
      <c r="G43">
        <v>405000</v>
      </c>
    </row>
    <row r="44" spans="4:7" x14ac:dyDescent="0.35">
      <c r="D44">
        <v>2024</v>
      </c>
      <c r="E44" t="s">
        <v>144</v>
      </c>
      <c r="F44" t="str">
        <f t="shared" si="0"/>
        <v>2024 October</v>
      </c>
      <c r="G44">
        <v>420000</v>
      </c>
    </row>
    <row r="45" spans="4:7" x14ac:dyDescent="0.35">
      <c r="D45">
        <v>2024</v>
      </c>
      <c r="E45" t="s">
        <v>145</v>
      </c>
      <c r="F45" t="str">
        <f t="shared" si="0"/>
        <v>2024 November</v>
      </c>
      <c r="G45">
        <v>415000</v>
      </c>
    </row>
    <row r="46" spans="4:7" x14ac:dyDescent="0.35">
      <c r="D46">
        <v>2024</v>
      </c>
      <c r="E46" t="s">
        <v>146</v>
      </c>
      <c r="F46" t="str">
        <f t="shared" si="0"/>
        <v>2024 December</v>
      </c>
      <c r="G46">
        <v>400000</v>
      </c>
    </row>
    <row r="47" spans="4:7" x14ac:dyDescent="0.35">
      <c r="D47">
        <v>2025</v>
      </c>
      <c r="E47" t="s">
        <v>147</v>
      </c>
      <c r="F47" t="str">
        <f t="shared" si="0"/>
        <v>2025 January</v>
      </c>
      <c r="G47">
        <v>440000</v>
      </c>
    </row>
    <row r="48" spans="4:7" x14ac:dyDescent="0.35">
      <c r="D48">
        <v>2025</v>
      </c>
      <c r="E48" t="s">
        <v>148</v>
      </c>
      <c r="F48" t="str">
        <f t="shared" si="0"/>
        <v>2025 February</v>
      </c>
      <c r="G48">
        <v>430000</v>
      </c>
    </row>
    <row r="49" spans="4:7" x14ac:dyDescent="0.35">
      <c r="D49">
        <v>2025</v>
      </c>
      <c r="E49" t="s">
        <v>149</v>
      </c>
      <c r="F49" t="str">
        <f t="shared" si="0"/>
        <v>2025 March</v>
      </c>
      <c r="G49">
        <v>455000</v>
      </c>
    </row>
    <row r="50" spans="4:7" x14ac:dyDescent="0.35">
      <c r="D50">
        <v>2025</v>
      </c>
      <c r="E50" t="s">
        <v>139</v>
      </c>
      <c r="F50" t="str">
        <f t="shared" si="0"/>
        <v>2025 April</v>
      </c>
      <c r="G50">
        <v>450000</v>
      </c>
    </row>
    <row r="51" spans="4:7" x14ac:dyDescent="0.35">
      <c r="D51">
        <v>2025</v>
      </c>
      <c r="E51" t="s">
        <v>125</v>
      </c>
      <c r="F51" t="str">
        <f t="shared" si="0"/>
        <v>2025 May</v>
      </c>
      <c r="G51">
        <v>440000</v>
      </c>
    </row>
    <row r="52" spans="4:7" x14ac:dyDescent="0.35">
      <c r="D52">
        <v>2025</v>
      </c>
      <c r="E52" t="s">
        <v>140</v>
      </c>
      <c r="F52" t="str">
        <f t="shared" si="0"/>
        <v>2025 June</v>
      </c>
      <c r="G52">
        <v>435000</v>
      </c>
    </row>
    <row r="53" spans="4:7" x14ac:dyDescent="0.35">
      <c r="D53">
        <v>2025</v>
      </c>
      <c r="E53" t="s">
        <v>141</v>
      </c>
      <c r="F53" t="str">
        <f t="shared" si="0"/>
        <v>2025 July</v>
      </c>
      <c r="G53">
        <v>450000</v>
      </c>
    </row>
    <row r="54" spans="4:7" x14ac:dyDescent="0.35">
      <c r="D54">
        <v>2025</v>
      </c>
      <c r="E54" t="s">
        <v>142</v>
      </c>
      <c r="F54" t="str">
        <f t="shared" si="0"/>
        <v>2025 August</v>
      </c>
      <c r="G54">
        <v>470000</v>
      </c>
    </row>
    <row r="55" spans="4:7" x14ac:dyDescent="0.35">
      <c r="D55">
        <v>2025</v>
      </c>
      <c r="E55" t="s">
        <v>143</v>
      </c>
      <c r="F55" t="str">
        <f t="shared" si="0"/>
        <v>2025 September</v>
      </c>
      <c r="G55">
        <v>465000</v>
      </c>
    </row>
    <row r="56" spans="4:7" x14ac:dyDescent="0.35">
      <c r="D56">
        <v>2025</v>
      </c>
      <c r="E56" t="s">
        <v>144</v>
      </c>
      <c r="F56" t="str">
        <f t="shared" si="0"/>
        <v>2025 October</v>
      </c>
      <c r="G56">
        <v>480000</v>
      </c>
    </row>
    <row r="57" spans="4:7" x14ac:dyDescent="0.35">
      <c r="D57">
        <v>2025</v>
      </c>
      <c r="E57" t="s">
        <v>145</v>
      </c>
      <c r="F57" t="str">
        <f t="shared" si="0"/>
        <v>2025 November</v>
      </c>
      <c r="G57">
        <v>475000</v>
      </c>
    </row>
    <row r="58" spans="4:7" x14ac:dyDescent="0.35">
      <c r="D58">
        <v>2025</v>
      </c>
      <c r="E58" t="s">
        <v>146</v>
      </c>
      <c r="F58" t="str">
        <f t="shared" si="0"/>
        <v>2025 December</v>
      </c>
      <c r="G58">
        <v>460000</v>
      </c>
    </row>
    <row r="59" spans="4:7" x14ac:dyDescent="0.35">
      <c r="D59">
        <v>2026</v>
      </c>
      <c r="E59" t="s">
        <v>147</v>
      </c>
      <c r="F59" t="str">
        <f t="shared" si="0"/>
        <v>2026 January</v>
      </c>
      <c r="G59">
        <v>500000</v>
      </c>
    </row>
    <row r="60" spans="4:7" x14ac:dyDescent="0.35">
      <c r="D60">
        <v>2026</v>
      </c>
      <c r="E60" t="s">
        <v>148</v>
      </c>
      <c r="F60" t="str">
        <f t="shared" si="0"/>
        <v>2026 February</v>
      </c>
      <c r="G60">
        <v>490000</v>
      </c>
    </row>
    <row r="61" spans="4:7" x14ac:dyDescent="0.35">
      <c r="D61">
        <v>2026</v>
      </c>
      <c r="E61" t="s">
        <v>149</v>
      </c>
      <c r="F61" t="str">
        <f t="shared" si="0"/>
        <v>2026 March</v>
      </c>
      <c r="G61">
        <v>510000</v>
      </c>
    </row>
    <row r="62" spans="4:7" x14ac:dyDescent="0.35">
      <c r="D62">
        <v>2026</v>
      </c>
      <c r="E62" t="s">
        <v>139</v>
      </c>
      <c r="F62" t="str">
        <f t="shared" si="0"/>
        <v>2026 April</v>
      </c>
      <c r="G62">
        <v>505000</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3083D1-5AAF-47F8-9074-8D746FC802B2}">
  <dimension ref="B2:C7"/>
  <sheetViews>
    <sheetView workbookViewId="0"/>
  </sheetViews>
  <sheetFormatPr defaultRowHeight="14.5" x14ac:dyDescent="0.35"/>
  <sheetData>
    <row r="2" spans="2:3" x14ac:dyDescent="0.35">
      <c r="B2" s="15" t="s">
        <v>151</v>
      </c>
      <c r="C2" s="15" t="s">
        <v>152</v>
      </c>
    </row>
    <row r="3" spans="2:3" x14ac:dyDescent="0.35">
      <c r="B3" s="10" t="s">
        <v>151</v>
      </c>
      <c r="C3" s="10" t="s">
        <v>150</v>
      </c>
    </row>
    <row r="4" spans="2:3" x14ac:dyDescent="0.35">
      <c r="B4" s="15" t="s">
        <v>151</v>
      </c>
      <c r="C4" s="15" t="s">
        <v>153</v>
      </c>
    </row>
    <row r="5" spans="2:3" x14ac:dyDescent="0.35">
      <c r="B5" s="10" t="s">
        <v>154</v>
      </c>
      <c r="C5" s="10" t="s">
        <v>155</v>
      </c>
    </row>
    <row r="6" spans="2:3" x14ac:dyDescent="0.35">
      <c r="B6" s="15" t="s">
        <v>156</v>
      </c>
      <c r="C6" s="15" t="s">
        <v>157</v>
      </c>
    </row>
    <row r="7" spans="2:3" x14ac:dyDescent="0.35">
      <c r="B7" s="10" t="s">
        <v>158</v>
      </c>
      <c r="C7" s="10" t="s">
        <v>159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Quick Summary</vt:lpstr>
      <vt:lpstr>Answers</vt:lpstr>
      <vt:lpstr>Examples</vt:lpstr>
      <vt:lpstr>Scoring Metrics</vt:lpstr>
      <vt:lpstr>Gemini trends</vt:lpstr>
      <vt:lpstr>Sheet2</vt:lpstr>
      <vt:lpstr>Prompts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Mohit Verma</cp:lastModifiedBy>
  <dcterms:created xsi:type="dcterms:W3CDTF">2026-03-24T11:56:44Z</dcterms:created>
  <dcterms:modified xsi:type="dcterms:W3CDTF">2026-05-13T08:48:10Z</dcterms:modified>
</cp:coreProperties>
</file>